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niuits-my.sharepoint.com/personal/z1983816_students_niu_edu/Documents/"/>
    </mc:Choice>
  </mc:AlternateContent>
  <xr:revisionPtr revIDLastSave="0" documentId="8_{1C367281-23ED-49A6-8191-F67EBFD728B1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Index values" sheetId="1" r:id="rId1"/>
    <sheet name="Cleaned Data" sheetId="3" r:id="rId2"/>
    <sheet name="Data Quality" sheetId="5" r:id="rId3"/>
    <sheet name="Averages" sheetId="6" r:id="rId4"/>
    <sheet name="Monthly Averages" sheetId="7" r:id="rId5"/>
    <sheet name="Inflation Rate" sheetId="8" r:id="rId6"/>
    <sheet name="Statistical Analysis of Rate" sheetId="9" r:id="rId7"/>
    <sheet name="Questions" sheetId="10" r:id="rId8"/>
  </sheets>
  <definedNames>
    <definedName name="_xlnm._FilterDatabase" localSheetId="6" hidden="1">'Statistical Analysis of Rate'!$A$1:$G$541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9" l="1"/>
  <c r="R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E269" i="9" s="1"/>
  <c r="D270" i="9"/>
  <c r="E270" i="9" s="1"/>
  <c r="D271" i="9"/>
  <c r="E271" i="9" s="1"/>
  <c r="D272" i="9"/>
  <c r="E272" i="9" s="1"/>
  <c r="D273" i="9"/>
  <c r="E273" i="9" s="1"/>
  <c r="D274" i="9"/>
  <c r="E274" i="9" s="1"/>
  <c r="D275" i="9"/>
  <c r="E275" i="9" s="1"/>
  <c r="D276" i="9"/>
  <c r="E276" i="9" s="1"/>
  <c r="D277" i="9"/>
  <c r="E277" i="9" s="1"/>
  <c r="D278" i="9"/>
  <c r="E278" i="9" s="1"/>
  <c r="D279" i="9"/>
  <c r="E279" i="9" s="1"/>
  <c r="D280" i="9"/>
  <c r="E280" i="9" s="1"/>
  <c r="D281" i="9"/>
  <c r="E281" i="9" s="1"/>
  <c r="D282" i="9"/>
  <c r="E282" i="9" s="1"/>
  <c r="D283" i="9"/>
  <c r="E283" i="9" s="1"/>
  <c r="D284" i="9"/>
  <c r="E284" i="9" s="1"/>
  <c r="D285" i="9"/>
  <c r="E285" i="9" s="1"/>
  <c r="D286" i="9"/>
  <c r="E286" i="9" s="1"/>
  <c r="D287" i="9"/>
  <c r="E287" i="9" s="1"/>
  <c r="D288" i="9"/>
  <c r="E288" i="9" s="1"/>
  <c r="D289" i="9"/>
  <c r="E289" i="9" s="1"/>
  <c r="D290" i="9"/>
  <c r="E290" i="9" s="1"/>
  <c r="D291" i="9"/>
  <c r="E291" i="9" s="1"/>
  <c r="D292" i="9"/>
  <c r="E292" i="9" s="1"/>
  <c r="D293" i="9"/>
  <c r="E293" i="9" s="1"/>
  <c r="D294" i="9"/>
  <c r="E294" i="9" s="1"/>
  <c r="D295" i="9"/>
  <c r="E295" i="9" s="1"/>
  <c r="D296" i="9"/>
  <c r="E296" i="9" s="1"/>
  <c r="D297" i="9"/>
  <c r="E297" i="9" s="1"/>
  <c r="D298" i="9"/>
  <c r="E298" i="9" s="1"/>
  <c r="D299" i="9"/>
  <c r="E299" i="9" s="1"/>
  <c r="D300" i="9"/>
  <c r="E300" i="9" s="1"/>
  <c r="D301" i="9"/>
  <c r="E301" i="9" s="1"/>
  <c r="D302" i="9"/>
  <c r="E302" i="9" s="1"/>
  <c r="D303" i="9"/>
  <c r="E303" i="9" s="1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2" i="9"/>
  <c r="C3" i="9"/>
  <c r="E3" i="9" s="1"/>
  <c r="C4" i="9"/>
  <c r="E4" i="9" s="1"/>
  <c r="C5" i="9"/>
  <c r="E5" i="9" s="1"/>
  <c r="C6" i="9"/>
  <c r="E6" i="9" s="1"/>
  <c r="C7" i="9"/>
  <c r="E7" i="9" s="1"/>
  <c r="C8" i="9"/>
  <c r="E8" i="9" s="1"/>
  <c r="C9" i="9"/>
  <c r="E9" i="9" s="1"/>
  <c r="C10" i="9"/>
  <c r="E10" i="9" s="1"/>
  <c r="C11" i="9"/>
  <c r="E11" i="9" s="1"/>
  <c r="C12" i="9"/>
  <c r="E12" i="9" s="1"/>
  <c r="C13" i="9"/>
  <c r="E13" i="9" s="1"/>
  <c r="C14" i="9"/>
  <c r="E14" i="9" s="1"/>
  <c r="C15" i="9"/>
  <c r="E15" i="9" s="1"/>
  <c r="C16" i="9"/>
  <c r="E16" i="9" s="1"/>
  <c r="C17" i="9"/>
  <c r="E17" i="9" s="1"/>
  <c r="C18" i="9"/>
  <c r="E18" i="9" s="1"/>
  <c r="C19" i="9"/>
  <c r="E19" i="9" s="1"/>
  <c r="C20" i="9"/>
  <c r="E20" i="9" s="1"/>
  <c r="C21" i="9"/>
  <c r="E21" i="9" s="1"/>
  <c r="C22" i="9"/>
  <c r="E22" i="9" s="1"/>
  <c r="C23" i="9"/>
  <c r="E23" i="9" s="1"/>
  <c r="C24" i="9"/>
  <c r="E24" i="9" s="1"/>
  <c r="C25" i="9"/>
  <c r="E25" i="9" s="1"/>
  <c r="C26" i="9"/>
  <c r="E26" i="9" s="1"/>
  <c r="C27" i="9"/>
  <c r="E27" i="9" s="1"/>
  <c r="C28" i="9"/>
  <c r="E28" i="9" s="1"/>
  <c r="C29" i="9"/>
  <c r="E29" i="9" s="1"/>
  <c r="C30" i="9"/>
  <c r="E30" i="9" s="1"/>
  <c r="C31" i="9"/>
  <c r="E31" i="9" s="1"/>
  <c r="C32" i="9"/>
  <c r="E32" i="9" s="1"/>
  <c r="C33" i="9"/>
  <c r="E33" i="9" s="1"/>
  <c r="C34" i="9"/>
  <c r="E34" i="9" s="1"/>
  <c r="C35" i="9"/>
  <c r="E35" i="9" s="1"/>
  <c r="C36" i="9"/>
  <c r="E36" i="9" s="1"/>
  <c r="C37" i="9"/>
  <c r="E37" i="9" s="1"/>
  <c r="C38" i="9"/>
  <c r="E38" i="9" s="1"/>
  <c r="C39" i="9"/>
  <c r="E39" i="9" s="1"/>
  <c r="C40" i="9"/>
  <c r="E40" i="9" s="1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E160" i="9" s="1"/>
  <c r="C161" i="9"/>
  <c r="C162" i="9"/>
  <c r="E162" i="9" s="1"/>
  <c r="C163" i="9"/>
  <c r="E163" i="9" s="1"/>
  <c r="C164" i="9"/>
  <c r="E164" i="9" s="1"/>
  <c r="C165" i="9"/>
  <c r="E165" i="9" s="1"/>
  <c r="C166" i="9"/>
  <c r="E166" i="9" s="1"/>
  <c r="C167" i="9"/>
  <c r="E167" i="9" s="1"/>
  <c r="C168" i="9"/>
  <c r="E168" i="9" s="1"/>
  <c r="C169" i="9"/>
  <c r="E169" i="9" s="1"/>
  <c r="C170" i="9"/>
  <c r="E170" i="9" s="1"/>
  <c r="C171" i="9"/>
  <c r="E171" i="9" s="1"/>
  <c r="C172" i="9"/>
  <c r="E172" i="9" s="1"/>
  <c r="C173" i="9"/>
  <c r="E173" i="9" s="1"/>
  <c r="C174" i="9"/>
  <c r="E174" i="9" s="1"/>
  <c r="C175" i="9"/>
  <c r="E175" i="9" s="1"/>
  <c r="C176" i="9"/>
  <c r="E176" i="9" s="1"/>
  <c r="C177" i="9"/>
  <c r="E177" i="9" s="1"/>
  <c r="C178" i="9"/>
  <c r="E178" i="9" s="1"/>
  <c r="C179" i="9"/>
  <c r="E179" i="9" s="1"/>
  <c r="C180" i="9"/>
  <c r="E180" i="9" s="1"/>
  <c r="C181" i="9"/>
  <c r="E181" i="9" s="1"/>
  <c r="C182" i="9"/>
  <c r="E182" i="9" s="1"/>
  <c r="C183" i="9"/>
  <c r="E183" i="9" s="1"/>
  <c r="C184" i="9"/>
  <c r="E184" i="9" s="1"/>
  <c r="C185" i="9"/>
  <c r="E185" i="9" s="1"/>
  <c r="C186" i="9"/>
  <c r="E186" i="9" s="1"/>
  <c r="C187" i="9"/>
  <c r="E187" i="9" s="1"/>
  <c r="C188" i="9"/>
  <c r="E188" i="9" s="1"/>
  <c r="C189" i="9"/>
  <c r="E189" i="9" s="1"/>
  <c r="C190" i="9"/>
  <c r="E190" i="9" s="1"/>
  <c r="C191" i="9"/>
  <c r="E191" i="9" s="1"/>
  <c r="C192" i="9"/>
  <c r="E192" i="9" s="1"/>
  <c r="C193" i="9"/>
  <c r="E193" i="9" s="1"/>
  <c r="C194" i="9"/>
  <c r="E194" i="9" s="1"/>
  <c r="C195" i="9"/>
  <c r="E195" i="9" s="1"/>
  <c r="C196" i="9"/>
  <c r="E196" i="9" s="1"/>
  <c r="C197" i="9"/>
  <c r="E197" i="9" s="1"/>
  <c r="C198" i="9"/>
  <c r="E198" i="9" s="1"/>
  <c r="C199" i="9"/>
  <c r="E199" i="9" s="1"/>
  <c r="C200" i="9"/>
  <c r="E200" i="9" s="1"/>
  <c r="C201" i="9"/>
  <c r="E201" i="9" s="1"/>
  <c r="C202" i="9"/>
  <c r="E202" i="9" s="1"/>
  <c r="C203" i="9"/>
  <c r="E203" i="9" s="1"/>
  <c r="C204" i="9"/>
  <c r="E204" i="9" s="1"/>
  <c r="C205" i="9"/>
  <c r="E205" i="9" s="1"/>
  <c r="C206" i="9"/>
  <c r="E206" i="9" s="1"/>
  <c r="C207" i="9"/>
  <c r="E207" i="9" s="1"/>
  <c r="C208" i="9"/>
  <c r="E208" i="9" s="1"/>
  <c r="C209" i="9"/>
  <c r="E209" i="9" s="1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E325" i="9" s="1"/>
  <c r="C326" i="9"/>
  <c r="E326" i="9" s="1"/>
  <c r="C327" i="9"/>
  <c r="E327" i="9" s="1"/>
  <c r="C328" i="9"/>
  <c r="E328" i="9" s="1"/>
  <c r="C329" i="9"/>
  <c r="E329" i="9" s="1"/>
  <c r="C330" i="9"/>
  <c r="E330" i="9" s="1"/>
  <c r="C331" i="9"/>
  <c r="E331" i="9" s="1"/>
  <c r="C332" i="9"/>
  <c r="E332" i="9" s="1"/>
  <c r="C333" i="9"/>
  <c r="E333" i="9" s="1"/>
  <c r="C334" i="9"/>
  <c r="E334" i="9" s="1"/>
  <c r="C335" i="9"/>
  <c r="E335" i="9" s="1"/>
  <c r="C336" i="9"/>
  <c r="E336" i="9" s="1"/>
  <c r="C337" i="9"/>
  <c r="E337" i="9" s="1"/>
  <c r="C338" i="9"/>
  <c r="E338" i="9" s="1"/>
  <c r="C339" i="9"/>
  <c r="E339" i="9" s="1"/>
  <c r="C340" i="9"/>
  <c r="E340" i="9" s="1"/>
  <c r="C341" i="9"/>
  <c r="E341" i="9" s="1"/>
  <c r="C342" i="9"/>
  <c r="E342" i="9" s="1"/>
  <c r="C343" i="9"/>
  <c r="E343" i="9" s="1"/>
  <c r="C344" i="9"/>
  <c r="E344" i="9" s="1"/>
  <c r="C345" i="9"/>
  <c r="E345" i="9" s="1"/>
  <c r="C346" i="9"/>
  <c r="E346" i="9" s="1"/>
  <c r="C347" i="9"/>
  <c r="E347" i="9" s="1"/>
  <c r="C348" i="9"/>
  <c r="E348" i="9" s="1"/>
  <c r="C349" i="9"/>
  <c r="E349" i="9" s="1"/>
  <c r="C350" i="9"/>
  <c r="E350" i="9" s="1"/>
  <c r="C351" i="9"/>
  <c r="E351" i="9" s="1"/>
  <c r="C352" i="9"/>
  <c r="E352" i="9" s="1"/>
  <c r="C353" i="9"/>
  <c r="E353" i="9" s="1"/>
  <c r="C354" i="9"/>
  <c r="E354" i="9" s="1"/>
  <c r="C355" i="9"/>
  <c r="E355" i="9" s="1"/>
  <c r="C356" i="9"/>
  <c r="E356" i="9" s="1"/>
  <c r="C357" i="9"/>
  <c r="E357" i="9" s="1"/>
  <c r="C358" i="9"/>
  <c r="E358" i="9" s="1"/>
  <c r="C359" i="9"/>
  <c r="E359" i="9" s="1"/>
  <c r="C360" i="9"/>
  <c r="E360" i="9" s="1"/>
  <c r="C361" i="9"/>
  <c r="E361" i="9" s="1"/>
  <c r="C362" i="9"/>
  <c r="E362" i="9" s="1"/>
  <c r="C363" i="9"/>
  <c r="E363" i="9" s="1"/>
  <c r="C364" i="9"/>
  <c r="E364" i="9" s="1"/>
  <c r="C365" i="9"/>
  <c r="E365" i="9" s="1"/>
  <c r="C366" i="9"/>
  <c r="E366" i="9" s="1"/>
  <c r="C367" i="9"/>
  <c r="E367" i="9" s="1"/>
  <c r="C368" i="9"/>
  <c r="E368" i="9" s="1"/>
  <c r="C369" i="9"/>
  <c r="E369" i="9" s="1"/>
  <c r="C370" i="9"/>
  <c r="E370" i="9" s="1"/>
  <c r="C371" i="9"/>
  <c r="E371" i="9" s="1"/>
  <c r="C372" i="9"/>
  <c r="E372" i="9" s="1"/>
  <c r="C373" i="9"/>
  <c r="E373" i="9" s="1"/>
  <c r="C374" i="9"/>
  <c r="E374" i="9" s="1"/>
  <c r="C375" i="9"/>
  <c r="E375" i="9" s="1"/>
  <c r="C376" i="9"/>
  <c r="E376" i="9" s="1"/>
  <c r="C377" i="9"/>
  <c r="E377" i="9" s="1"/>
  <c r="C378" i="9"/>
  <c r="E378" i="9" s="1"/>
  <c r="C379" i="9"/>
  <c r="E379" i="9" s="1"/>
  <c r="C380" i="9"/>
  <c r="E380" i="9" s="1"/>
  <c r="C381" i="9"/>
  <c r="E381" i="9" s="1"/>
  <c r="C382" i="9"/>
  <c r="E382" i="9" s="1"/>
  <c r="C383" i="9"/>
  <c r="E383" i="9" s="1"/>
  <c r="C384" i="9"/>
  <c r="E384" i="9" s="1"/>
  <c r="C385" i="9"/>
  <c r="E385" i="9" s="1"/>
  <c r="C386" i="9"/>
  <c r="E386" i="9" s="1"/>
  <c r="C387" i="9"/>
  <c r="E387" i="9" s="1"/>
  <c r="C388" i="9"/>
  <c r="E388" i="9" s="1"/>
  <c r="C389" i="9"/>
  <c r="E389" i="9" s="1"/>
  <c r="C390" i="9"/>
  <c r="E390" i="9" s="1"/>
  <c r="C391" i="9"/>
  <c r="E391" i="9" s="1"/>
  <c r="C392" i="9"/>
  <c r="E392" i="9" s="1"/>
  <c r="C393" i="9"/>
  <c r="E393" i="9" s="1"/>
  <c r="C394" i="9"/>
  <c r="E394" i="9" s="1"/>
  <c r="C395" i="9"/>
  <c r="E395" i="9" s="1"/>
  <c r="C396" i="9"/>
  <c r="E396" i="9" s="1"/>
  <c r="C397" i="9"/>
  <c r="E397" i="9" s="1"/>
  <c r="C398" i="9"/>
  <c r="E398" i="9" s="1"/>
  <c r="C399" i="9"/>
  <c r="E399" i="9" s="1"/>
  <c r="C400" i="9"/>
  <c r="E400" i="9" s="1"/>
  <c r="C401" i="9"/>
  <c r="E401" i="9" s="1"/>
  <c r="C402" i="9"/>
  <c r="E402" i="9" s="1"/>
  <c r="C403" i="9"/>
  <c r="E403" i="9" s="1"/>
  <c r="C404" i="9"/>
  <c r="E404" i="9" s="1"/>
  <c r="C405" i="9"/>
  <c r="E405" i="9" s="1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E424" i="9" s="1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2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G3" i="8"/>
  <c r="G4" i="8" s="1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 s="1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 s="1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G422" i="8" s="1"/>
  <c r="G423" i="8" s="1"/>
  <c r="G424" i="8" s="1"/>
  <c r="G425" i="8" s="1"/>
  <c r="G426" i="8" s="1"/>
  <c r="G427" i="8" s="1"/>
  <c r="G428" i="8" s="1"/>
  <c r="G429" i="8" s="1"/>
  <c r="G430" i="8" s="1"/>
  <c r="G431" i="8" s="1"/>
  <c r="G432" i="8" s="1"/>
  <c r="G433" i="8" s="1"/>
  <c r="G434" i="8" s="1"/>
  <c r="G435" i="8" s="1"/>
  <c r="G436" i="8" s="1"/>
  <c r="G437" i="8" s="1"/>
  <c r="G438" i="8" s="1"/>
  <c r="G439" i="8" s="1"/>
  <c r="G440" i="8" s="1"/>
  <c r="G441" i="8" s="1"/>
  <c r="G442" i="8" s="1"/>
  <c r="G443" i="8" s="1"/>
  <c r="G444" i="8" s="1"/>
  <c r="G445" i="8" s="1"/>
  <c r="G446" i="8" s="1"/>
  <c r="G447" i="8" s="1"/>
  <c r="G448" i="8" s="1"/>
  <c r="G449" i="8" s="1"/>
  <c r="G450" i="8" s="1"/>
  <c r="G451" i="8" s="1"/>
  <c r="G452" i="8" s="1"/>
  <c r="G453" i="8" s="1"/>
  <c r="G454" i="8" s="1"/>
  <c r="G455" i="8" s="1"/>
  <c r="G456" i="8" s="1"/>
  <c r="G457" i="8" s="1"/>
  <c r="G458" i="8" s="1"/>
  <c r="G459" i="8" s="1"/>
  <c r="G460" i="8" s="1"/>
  <c r="G461" i="8" s="1"/>
  <c r="G462" i="8" s="1"/>
  <c r="G463" i="8" s="1"/>
  <c r="G464" i="8" s="1"/>
  <c r="G465" i="8" s="1"/>
  <c r="G466" i="8" s="1"/>
  <c r="G467" i="8" s="1"/>
  <c r="G468" i="8" s="1"/>
  <c r="G469" i="8" s="1"/>
  <c r="G470" i="8" s="1"/>
  <c r="G471" i="8" s="1"/>
  <c r="G472" i="8" s="1"/>
  <c r="G473" i="8" s="1"/>
  <c r="G474" i="8" s="1"/>
  <c r="G475" i="8" s="1"/>
  <c r="G476" i="8" s="1"/>
  <c r="G477" i="8" s="1"/>
  <c r="G478" i="8" s="1"/>
  <c r="G479" i="8" s="1"/>
  <c r="G480" i="8" s="1"/>
  <c r="G481" i="8" s="1"/>
  <c r="G482" i="8" s="1"/>
  <c r="G483" i="8" s="1"/>
  <c r="G484" i="8" s="1"/>
  <c r="G485" i="8" s="1"/>
  <c r="G486" i="8" s="1"/>
  <c r="G487" i="8" s="1"/>
  <c r="G488" i="8" s="1"/>
  <c r="G489" i="8" s="1"/>
  <c r="G490" i="8" s="1"/>
  <c r="G491" i="8" s="1"/>
  <c r="G492" i="8" s="1"/>
  <c r="G493" i="8" s="1"/>
  <c r="G494" i="8" s="1"/>
  <c r="G495" i="8" s="1"/>
  <c r="G496" i="8" s="1"/>
  <c r="G497" i="8" s="1"/>
  <c r="G498" i="8" s="1"/>
  <c r="G499" i="8" s="1"/>
  <c r="G500" i="8" s="1"/>
  <c r="G501" i="8" s="1"/>
  <c r="G502" i="8" s="1"/>
  <c r="G503" i="8" s="1"/>
  <c r="G504" i="8" s="1"/>
  <c r="G505" i="8" s="1"/>
  <c r="G506" i="8" s="1"/>
  <c r="G507" i="8" s="1"/>
  <c r="G508" i="8" s="1"/>
  <c r="G509" i="8" s="1"/>
  <c r="G510" i="8" s="1"/>
  <c r="G511" i="8" s="1"/>
  <c r="G512" i="8" s="1"/>
  <c r="G513" i="8" s="1"/>
  <c r="G514" i="8" s="1"/>
  <c r="G515" i="8" s="1"/>
  <c r="G516" i="8" s="1"/>
  <c r="G517" i="8" s="1"/>
  <c r="G518" i="8" s="1"/>
  <c r="G519" i="8" s="1"/>
  <c r="G520" i="8" s="1"/>
  <c r="G521" i="8" s="1"/>
  <c r="G522" i="8" s="1"/>
  <c r="G523" i="8" s="1"/>
  <c r="G524" i="8" s="1"/>
  <c r="G525" i="8" s="1"/>
  <c r="G526" i="8" s="1"/>
  <c r="G527" i="8" s="1"/>
  <c r="G528" i="8" s="1"/>
  <c r="G529" i="8" s="1"/>
  <c r="G530" i="8" s="1"/>
  <c r="G531" i="8" s="1"/>
  <c r="G532" i="8" s="1"/>
  <c r="G533" i="8" s="1"/>
  <c r="G534" i="8" s="1"/>
  <c r="G535" i="8" s="1"/>
  <c r="G536" i="8" s="1"/>
  <c r="G537" i="8" s="1"/>
  <c r="G538" i="8" s="1"/>
  <c r="G539" i="8" s="1"/>
  <c r="G540" i="8" s="1"/>
  <c r="G541" i="8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9" i="8"/>
  <c r="D530" i="8"/>
  <c r="D531" i="8"/>
  <c r="D532" i="8"/>
  <c r="D533" i="8"/>
  <c r="D534" i="8"/>
  <c r="D535" i="8"/>
  <c r="D536" i="8"/>
  <c r="D537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9" i="8"/>
  <c r="C530" i="8"/>
  <c r="C531" i="8"/>
  <c r="C532" i="8"/>
  <c r="C533" i="8"/>
  <c r="C534" i="8"/>
  <c r="C535" i="8"/>
  <c r="C536" i="8"/>
  <c r="C537" i="8"/>
  <c r="C3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I13" i="6"/>
  <c r="I12" i="6"/>
  <c r="I11" i="6"/>
  <c r="I10" i="6"/>
  <c r="I9" i="6"/>
  <c r="I8" i="6"/>
  <c r="I7" i="6"/>
  <c r="I6" i="6"/>
  <c r="I5" i="6"/>
  <c r="I4" i="6"/>
  <c r="I3" i="6"/>
  <c r="I2" i="6"/>
  <c r="H13" i="6"/>
  <c r="H12" i="6"/>
  <c r="H11" i="6"/>
  <c r="H10" i="6"/>
  <c r="H9" i="6"/>
  <c r="H8" i="6"/>
  <c r="H7" i="6"/>
  <c r="H6" i="6"/>
  <c r="H5" i="6"/>
  <c r="H4" i="6"/>
  <c r="H3" i="6"/>
  <c r="H2" i="6"/>
  <c r="G13" i="6"/>
  <c r="G12" i="6"/>
  <c r="G11" i="6"/>
  <c r="G10" i="6"/>
  <c r="G9" i="6"/>
  <c r="G8" i="6"/>
  <c r="G7" i="6"/>
  <c r="G6" i="6"/>
  <c r="G5" i="6"/>
  <c r="G4" i="6"/>
  <c r="G3" i="6"/>
  <c r="G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2" i="6"/>
  <c r="E304" i="9" l="1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1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2" i="9"/>
</calcChain>
</file>

<file path=xl/sharedStrings.xml><?xml version="1.0" encoding="utf-8"?>
<sst xmlns="http://schemas.openxmlformats.org/spreadsheetml/2006/main" count="281" uniqueCount="184">
  <si>
    <t/>
  </si>
  <si>
    <t>Historical Consumer Price Index for All Urban Consumers (CPI-U): U.S. city average, all items, by month</t>
  </si>
  <si>
    <t>[1982-84=100, unless otherwise noted]</t>
  </si>
  <si>
    <t>Indent Level</t>
  </si>
  <si>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</si>
  <si>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</si>
  <si>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</si>
  <si>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</si>
  <si>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</si>
  <si>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</si>
  <si>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</si>
  <si>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</si>
  <si>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</si>
  <si>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</si>
  <si>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</si>
  <si>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</si>
  <si>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</si>
  <si>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</si>
  <si>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</si>
  <si>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</si>
  <si>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</si>
  <si>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</si>
  <si>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</si>
  <si>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</si>
  <si>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</si>
  <si>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</si>
  <si>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</si>
  <si>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</si>
  <si>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</si>
  <si>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</si>
  <si>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</si>
  <si>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</si>
  <si>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</si>
  <si>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</si>
  <si>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</si>
  <si>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</si>
  <si>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</si>
  <si>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</si>
  <si>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</si>
  <si>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</si>
  <si>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</si>
  <si>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</si>
  <si>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</si>
  <si>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</si>
  <si>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</si>
  <si>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</si>
  <si>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</si>
  <si>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</si>
  <si>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</si>
  <si>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</si>
  <si>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</si>
  <si>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</si>
  <si>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</si>
  <si>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</si>
  <si>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</si>
  <si>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</si>
  <si>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</si>
  <si>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</si>
  <si>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</si>
  <si>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</si>
  <si>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</si>
  <si>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</si>
  <si>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</si>
  <si>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</si>
  <si>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</si>
  <si>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</si>
  <si>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</si>
  <si>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</si>
  <si>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</si>
  <si>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</si>
  <si>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</si>
  <si>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</si>
  <si>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</si>
  <si>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</si>
  <si>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</si>
  <si>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</si>
  <si>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</si>
  <si>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</si>
  <si>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</si>
  <si>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</si>
  <si>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</si>
  <si>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</si>
  <si>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</si>
  <si>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</si>
  <si>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</si>
  <si>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</si>
  <si>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</si>
  <si>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</si>
  <si>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</si>
  <si>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</si>
  <si>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</si>
  <si>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</si>
  <si>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</si>
  <si>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</si>
  <si>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</si>
  <si>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</si>
  <si>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</si>
  <si>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</si>
  <si>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</si>
  <si>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</si>
  <si>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</si>
  <si>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</si>
  <si>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</si>
  <si>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</si>
  <si>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</si>
  <si>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</si>
  <si>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</si>
  <si>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</si>
  <si>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</si>
  <si>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</si>
  <si>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</si>
  <si>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</si>
  <si>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</si>
  <si>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</si>
  <si>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</si>
  <si>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</si>
  <si>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</si>
  <si>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</si>
  <si>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</si>
  <si>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</si>
  <si>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</si>
  <si>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</si>
  <si>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</si>
  <si>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</si>
  <si>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</si>
  <si>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</si>
  <si>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</si>
  <si>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</si>
  <si>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</si>
  <si>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</si>
  <si>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–</t>
  </si>
  <si>
    <t>2026</t>
  </si>
  <si>
    <t>NOTE: The Oct 2025 data values are not available due to the 2025 lapse in appropriations.</t>
  </si>
  <si>
    <t xml:space="preserve">Number of Blanks </t>
  </si>
  <si>
    <t>Duplicate  Values</t>
  </si>
  <si>
    <t>A couple</t>
  </si>
  <si>
    <t>Count of observations</t>
  </si>
  <si>
    <t>Average</t>
  </si>
  <si>
    <t xml:space="preserve">Min </t>
  </si>
  <si>
    <t>Max</t>
  </si>
  <si>
    <t>Month</t>
  </si>
  <si>
    <t>Min</t>
  </si>
  <si>
    <t>Earliest</t>
  </si>
  <si>
    <t>January</t>
  </si>
  <si>
    <t>Jan</t>
  </si>
  <si>
    <t>Latest</t>
  </si>
  <si>
    <t>August</t>
  </si>
  <si>
    <t>Feb</t>
  </si>
  <si>
    <t>Mar</t>
  </si>
  <si>
    <t>Average CPI is different in not the same as the inflation rate because average CPI is an index.</t>
  </si>
  <si>
    <t>Apr</t>
  </si>
  <si>
    <t>Jun</t>
  </si>
  <si>
    <t>Jul</t>
  </si>
  <si>
    <t>Average CPI for the year increases as the years go on, average CPI for the months varies with a peak in August, with  a big drop from August to October with an overall increase from October to December.</t>
  </si>
  <si>
    <t>Aug</t>
  </si>
  <si>
    <t>Sep</t>
  </si>
  <si>
    <t>Oct</t>
  </si>
  <si>
    <t>Nov</t>
  </si>
  <si>
    <t>Dec</t>
  </si>
  <si>
    <t>It dropped drastically between Aug and October.</t>
  </si>
  <si>
    <t>Increasing pretty constantly between January and August, increased between Oct and Nov.</t>
  </si>
  <si>
    <t>CPI Index</t>
  </si>
  <si>
    <t>Change</t>
  </si>
  <si>
    <t>%Change</t>
  </si>
  <si>
    <t xml:space="preserve">Biggest changes have to do with missing values there are several months with values over  1 percent.  </t>
  </si>
  <si>
    <t>There is a lot more data points for this chart compared to the other chart, so there is a lot more volatility.</t>
  </si>
  <si>
    <t>The other chart is an overall monthly average, while the percentage change is this chart.</t>
  </si>
  <si>
    <t>There is one big spike in 2008, which could relate to the recession, with minor spikes.</t>
  </si>
  <si>
    <t>Mean</t>
  </si>
  <si>
    <t>Standard Deviation</t>
  </si>
  <si>
    <t>Z-score</t>
  </si>
  <si>
    <t>Observations far from average</t>
  </si>
  <si>
    <t>These unusual values are during the 2008 recession.</t>
  </si>
  <si>
    <t>CI</t>
  </si>
  <si>
    <t>Low</t>
  </si>
  <si>
    <t>High</t>
  </si>
  <si>
    <t>These should not be deleted because they represent an integral point in economic history.</t>
  </si>
  <si>
    <t>We are 95% confident that the true mean is between 0.212 and 0.265.</t>
  </si>
  <si>
    <t>How did the pace of price increases vary over the selected period? </t>
  </si>
  <si>
    <t xml:space="preserve">If you look at everything holistically there are volatility and ups and downs with some peaks due to economic conditions. </t>
  </si>
  <si>
    <t>Which periods had the greatest inflation variability? </t>
  </si>
  <si>
    <t>From looking at the inflation rate chart, April-May of every year seem to be volatile.</t>
  </si>
  <si>
    <t>What can the CPI tell you about purchasing power, and what additional information would be needed to estimate changes in real purchasing power for a particular household? </t>
  </si>
  <si>
    <t>You can make the argument that CPI means that purchasing power decreases. I think you also need income information. If income increase percentage is higher than the inflation rate, then the household is not losing money.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</si>
</sst>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"/>
    <numFmt numFmtId="166" formatCode="0.0"/>
    <numFmt numFmtId="167" formatCode="0.000"/>
  </numFmts>
  <fonts count="3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7" fontId="0" fillId="0" borderId="0" xfId="0" applyNumberFormat="1"/>
    <xf numFmtId="16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15"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numFmt numFmtId="166" formatCode="0.0"/>
      <alignment horizontal="righ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Average for all of the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Averages'!$B$1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Averages'!$A$2:$A$13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Averages'!$B$2:$B$13</c:f>
              <c:numCache>
                <c:formatCode>0.0</c:formatCode>
                <c:ptCount val="12"/>
                <c:pt idx="0">
                  <c:v>191.7613777777778</c:v>
                </c:pt>
                <c:pt idx="1">
                  <c:v>192.5619777777778</c:v>
                </c:pt>
                <c:pt idx="2">
                  <c:v>193.50508888888888</c:v>
                </c:pt>
                <c:pt idx="3">
                  <c:v>194.22462222222228</c:v>
                </c:pt>
                <c:pt idx="4">
                  <c:v>194.84344444444443</c:v>
                </c:pt>
                <c:pt idx="5">
                  <c:v>195.40924444444443</c:v>
                </c:pt>
                <c:pt idx="6">
                  <c:v>195.65820000000002</c:v>
                </c:pt>
                <c:pt idx="7">
                  <c:v>196.03386666666665</c:v>
                </c:pt>
                <c:pt idx="8">
                  <c:v>193.36215909090913</c:v>
                </c:pt>
                <c:pt idx="9">
                  <c:v>190.51393023255815</c:v>
                </c:pt>
                <c:pt idx="10">
                  <c:v>193.37645454545455</c:v>
                </c:pt>
                <c:pt idx="11">
                  <c:v>193.16345454545456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B-4B69-8626-C37AF9418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755504"/>
        <c:axId val="1503785072"/>
      </c:lineChart>
      <c:catAx>
        <c:axId val="107875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785072"/>
        <c:crosses val="autoZero"/>
        <c:auto val="1"/>
        <c:lblAlgn val="ctr"/>
        <c:lblOffset val="100"/>
        <c:noMultiLvlLbl val="0"/>
      </c:catAx>
      <c:valAx>
        <c:axId val="15037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CPI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5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%Change - Inflation Rate vs</a:t>
            </a:r>
            <a:r>
              <a:rPr lang="en-US" baseline="0"/>
              <a:t> Month and </a:t>
            </a:r>
            <a:r>
              <a:rPr lang="en-US"/>
              <a:t>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'Inflation Rate'!$H$1:$H$2</c:f>
              <c:strCache>
                <c:ptCount val="2"/>
                <c:pt idx="0">
                  <c:v>%Change</c:v>
                </c:pt>
                <c:pt idx="1">
                  <c:v>1/1/1982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'Inflation Rate'!$G$3:$G$541</c:f>
              <c:numCache>
                <c:formatCode>m/d/yyyy</c:formatCode>
                <c:ptCount val="539"/>
                <c:pt idx="0">
                  <c:v>29983</c:v>
                </c:pt>
                <c:pt idx="1">
                  <c:v>30011</c:v>
                </c:pt>
                <c:pt idx="2">
                  <c:v>30042</c:v>
                </c:pt>
                <c:pt idx="3">
                  <c:v>30072</c:v>
                </c:pt>
                <c:pt idx="4">
                  <c:v>30103</c:v>
                </c:pt>
                <c:pt idx="5">
                  <c:v>30133</c:v>
                </c:pt>
                <c:pt idx="6">
                  <c:v>30164</c:v>
                </c:pt>
                <c:pt idx="7">
                  <c:v>30195</c:v>
                </c:pt>
                <c:pt idx="8">
                  <c:v>30225</c:v>
                </c:pt>
                <c:pt idx="9">
                  <c:v>30256</c:v>
                </c:pt>
                <c:pt idx="10">
                  <c:v>30286</c:v>
                </c:pt>
                <c:pt idx="11">
                  <c:v>30317</c:v>
                </c:pt>
                <c:pt idx="12">
                  <c:v>30348</c:v>
                </c:pt>
                <c:pt idx="13">
                  <c:v>30376</c:v>
                </c:pt>
                <c:pt idx="14">
                  <c:v>30407</c:v>
                </c:pt>
                <c:pt idx="15">
                  <c:v>30437</c:v>
                </c:pt>
                <c:pt idx="16">
                  <c:v>30468</c:v>
                </c:pt>
                <c:pt idx="17">
                  <c:v>30498</c:v>
                </c:pt>
                <c:pt idx="18">
                  <c:v>30529</c:v>
                </c:pt>
                <c:pt idx="19">
                  <c:v>30560</c:v>
                </c:pt>
                <c:pt idx="20">
                  <c:v>30590</c:v>
                </c:pt>
                <c:pt idx="21">
                  <c:v>30621</c:v>
                </c:pt>
                <c:pt idx="22">
                  <c:v>30651</c:v>
                </c:pt>
                <c:pt idx="23">
                  <c:v>30682</c:v>
                </c:pt>
                <c:pt idx="24">
                  <c:v>30713</c:v>
                </c:pt>
                <c:pt idx="25">
                  <c:v>30742</c:v>
                </c:pt>
                <c:pt idx="26">
                  <c:v>30773</c:v>
                </c:pt>
                <c:pt idx="27">
                  <c:v>30803</c:v>
                </c:pt>
                <c:pt idx="28">
                  <c:v>30834</c:v>
                </c:pt>
                <c:pt idx="29">
                  <c:v>30864</c:v>
                </c:pt>
                <c:pt idx="30">
                  <c:v>30895</c:v>
                </c:pt>
                <c:pt idx="31">
                  <c:v>30926</c:v>
                </c:pt>
                <c:pt idx="32">
                  <c:v>30956</c:v>
                </c:pt>
                <c:pt idx="33">
                  <c:v>30987</c:v>
                </c:pt>
                <c:pt idx="34">
                  <c:v>31017</c:v>
                </c:pt>
                <c:pt idx="35">
                  <c:v>31048</c:v>
                </c:pt>
                <c:pt idx="36">
                  <c:v>31079</c:v>
                </c:pt>
                <c:pt idx="37">
                  <c:v>31107</c:v>
                </c:pt>
                <c:pt idx="38">
                  <c:v>31138</c:v>
                </c:pt>
                <c:pt idx="39">
                  <c:v>31168</c:v>
                </c:pt>
                <c:pt idx="40">
                  <c:v>31199</c:v>
                </c:pt>
                <c:pt idx="41">
                  <c:v>31229</c:v>
                </c:pt>
                <c:pt idx="42">
                  <c:v>31260</c:v>
                </c:pt>
                <c:pt idx="43">
                  <c:v>31291</c:v>
                </c:pt>
                <c:pt idx="44">
                  <c:v>31321</c:v>
                </c:pt>
                <c:pt idx="45">
                  <c:v>31352</c:v>
                </c:pt>
                <c:pt idx="46">
                  <c:v>31382</c:v>
                </c:pt>
                <c:pt idx="47">
                  <c:v>31413</c:v>
                </c:pt>
                <c:pt idx="48">
                  <c:v>31444</c:v>
                </c:pt>
                <c:pt idx="49">
                  <c:v>31472</c:v>
                </c:pt>
                <c:pt idx="50">
                  <c:v>31503</c:v>
                </c:pt>
                <c:pt idx="51">
                  <c:v>31533</c:v>
                </c:pt>
                <c:pt idx="52">
                  <c:v>31564</c:v>
                </c:pt>
                <c:pt idx="53">
                  <c:v>31594</c:v>
                </c:pt>
                <c:pt idx="54">
                  <c:v>31625</c:v>
                </c:pt>
                <c:pt idx="55">
                  <c:v>31656</c:v>
                </c:pt>
                <c:pt idx="56">
                  <c:v>31686</c:v>
                </c:pt>
                <c:pt idx="57">
                  <c:v>31717</c:v>
                </c:pt>
                <c:pt idx="58">
                  <c:v>31747</c:v>
                </c:pt>
                <c:pt idx="59">
                  <c:v>31778</c:v>
                </c:pt>
                <c:pt idx="60">
                  <c:v>31809</c:v>
                </c:pt>
                <c:pt idx="61">
                  <c:v>31837</c:v>
                </c:pt>
                <c:pt idx="62">
                  <c:v>31868</c:v>
                </c:pt>
                <c:pt idx="63">
                  <c:v>31898</c:v>
                </c:pt>
                <c:pt idx="64">
                  <c:v>31929</c:v>
                </c:pt>
                <c:pt idx="65">
                  <c:v>31959</c:v>
                </c:pt>
                <c:pt idx="66">
                  <c:v>31990</c:v>
                </c:pt>
                <c:pt idx="67">
                  <c:v>32021</c:v>
                </c:pt>
                <c:pt idx="68">
                  <c:v>32051</c:v>
                </c:pt>
                <c:pt idx="69">
                  <c:v>32082</c:v>
                </c:pt>
                <c:pt idx="70">
                  <c:v>32112</c:v>
                </c:pt>
                <c:pt idx="71">
                  <c:v>32143</c:v>
                </c:pt>
                <c:pt idx="72">
                  <c:v>32174</c:v>
                </c:pt>
                <c:pt idx="73">
                  <c:v>32203</c:v>
                </c:pt>
                <c:pt idx="74">
                  <c:v>32234</c:v>
                </c:pt>
                <c:pt idx="75">
                  <c:v>32264</c:v>
                </c:pt>
                <c:pt idx="76">
                  <c:v>32295</c:v>
                </c:pt>
                <c:pt idx="77">
                  <c:v>32325</c:v>
                </c:pt>
                <c:pt idx="78">
                  <c:v>32356</c:v>
                </c:pt>
                <c:pt idx="79">
                  <c:v>32387</c:v>
                </c:pt>
                <c:pt idx="80">
                  <c:v>32417</c:v>
                </c:pt>
                <c:pt idx="81">
                  <c:v>32448</c:v>
                </c:pt>
                <c:pt idx="82">
                  <c:v>32478</c:v>
                </c:pt>
                <c:pt idx="83">
                  <c:v>32509</c:v>
                </c:pt>
                <c:pt idx="84">
                  <c:v>32540</c:v>
                </c:pt>
                <c:pt idx="85">
                  <c:v>32568</c:v>
                </c:pt>
                <c:pt idx="86">
                  <c:v>32599</c:v>
                </c:pt>
                <c:pt idx="87">
                  <c:v>32629</c:v>
                </c:pt>
                <c:pt idx="88">
                  <c:v>32660</c:v>
                </c:pt>
                <c:pt idx="89">
                  <c:v>32690</c:v>
                </c:pt>
                <c:pt idx="90">
                  <c:v>32721</c:v>
                </c:pt>
                <c:pt idx="91">
                  <c:v>32752</c:v>
                </c:pt>
                <c:pt idx="92">
                  <c:v>32782</c:v>
                </c:pt>
                <c:pt idx="93">
                  <c:v>32813</c:v>
                </c:pt>
                <c:pt idx="94">
                  <c:v>32843</c:v>
                </c:pt>
                <c:pt idx="95">
                  <c:v>32874</c:v>
                </c:pt>
                <c:pt idx="96">
                  <c:v>32905</c:v>
                </c:pt>
                <c:pt idx="97">
                  <c:v>32933</c:v>
                </c:pt>
                <c:pt idx="98">
                  <c:v>32964</c:v>
                </c:pt>
                <c:pt idx="99">
                  <c:v>32994</c:v>
                </c:pt>
                <c:pt idx="100">
                  <c:v>33025</c:v>
                </c:pt>
                <c:pt idx="101">
                  <c:v>33055</c:v>
                </c:pt>
                <c:pt idx="102">
                  <c:v>33086</c:v>
                </c:pt>
                <c:pt idx="103">
                  <c:v>33117</c:v>
                </c:pt>
                <c:pt idx="104">
                  <c:v>33147</c:v>
                </c:pt>
                <c:pt idx="105">
                  <c:v>33178</c:v>
                </c:pt>
                <c:pt idx="106">
                  <c:v>33208</c:v>
                </c:pt>
                <c:pt idx="107">
                  <c:v>33239</c:v>
                </c:pt>
                <c:pt idx="108">
                  <c:v>33270</c:v>
                </c:pt>
                <c:pt idx="109">
                  <c:v>33298</c:v>
                </c:pt>
                <c:pt idx="110">
                  <c:v>33329</c:v>
                </c:pt>
                <c:pt idx="111">
                  <c:v>33359</c:v>
                </c:pt>
                <c:pt idx="112">
                  <c:v>33390</c:v>
                </c:pt>
                <c:pt idx="113">
                  <c:v>33420</c:v>
                </c:pt>
                <c:pt idx="114">
                  <c:v>33451</c:v>
                </c:pt>
                <c:pt idx="115">
                  <c:v>33482</c:v>
                </c:pt>
                <c:pt idx="116">
                  <c:v>33512</c:v>
                </c:pt>
                <c:pt idx="117">
                  <c:v>33543</c:v>
                </c:pt>
                <c:pt idx="118">
                  <c:v>33573</c:v>
                </c:pt>
                <c:pt idx="119">
                  <c:v>33604</c:v>
                </c:pt>
                <c:pt idx="120">
                  <c:v>33635</c:v>
                </c:pt>
                <c:pt idx="121">
                  <c:v>33664</c:v>
                </c:pt>
                <c:pt idx="122">
                  <c:v>33695</c:v>
                </c:pt>
                <c:pt idx="123">
                  <c:v>33725</c:v>
                </c:pt>
                <c:pt idx="124">
                  <c:v>33756</c:v>
                </c:pt>
                <c:pt idx="125">
                  <c:v>33786</c:v>
                </c:pt>
                <c:pt idx="126">
                  <c:v>33817</c:v>
                </c:pt>
                <c:pt idx="127">
                  <c:v>33848</c:v>
                </c:pt>
                <c:pt idx="128">
                  <c:v>33878</c:v>
                </c:pt>
                <c:pt idx="129">
                  <c:v>33909</c:v>
                </c:pt>
                <c:pt idx="130">
                  <c:v>33939</c:v>
                </c:pt>
                <c:pt idx="131">
                  <c:v>33970</c:v>
                </c:pt>
                <c:pt idx="132">
                  <c:v>34001</c:v>
                </c:pt>
                <c:pt idx="133">
                  <c:v>34029</c:v>
                </c:pt>
                <c:pt idx="134">
                  <c:v>34060</c:v>
                </c:pt>
                <c:pt idx="135">
                  <c:v>34090</c:v>
                </c:pt>
                <c:pt idx="136">
                  <c:v>34121</c:v>
                </c:pt>
                <c:pt idx="137">
                  <c:v>34151</c:v>
                </c:pt>
                <c:pt idx="138">
                  <c:v>34182</c:v>
                </c:pt>
                <c:pt idx="139">
                  <c:v>34213</c:v>
                </c:pt>
                <c:pt idx="140">
                  <c:v>34243</c:v>
                </c:pt>
                <c:pt idx="141">
                  <c:v>34274</c:v>
                </c:pt>
                <c:pt idx="142">
                  <c:v>34304</c:v>
                </c:pt>
                <c:pt idx="143">
                  <c:v>34335</c:v>
                </c:pt>
                <c:pt idx="144">
                  <c:v>34366</c:v>
                </c:pt>
                <c:pt idx="145">
                  <c:v>34394</c:v>
                </c:pt>
                <c:pt idx="146">
                  <c:v>34425</c:v>
                </c:pt>
                <c:pt idx="147">
                  <c:v>34455</c:v>
                </c:pt>
                <c:pt idx="148">
                  <c:v>34486</c:v>
                </c:pt>
                <c:pt idx="149">
                  <c:v>34516</c:v>
                </c:pt>
                <c:pt idx="150">
                  <c:v>34547</c:v>
                </c:pt>
                <c:pt idx="151">
                  <c:v>34578</c:v>
                </c:pt>
                <c:pt idx="152">
                  <c:v>34608</c:v>
                </c:pt>
                <c:pt idx="153">
                  <c:v>34639</c:v>
                </c:pt>
                <c:pt idx="154">
                  <c:v>34669</c:v>
                </c:pt>
                <c:pt idx="155">
                  <c:v>34700</c:v>
                </c:pt>
                <c:pt idx="156">
                  <c:v>34731</c:v>
                </c:pt>
                <c:pt idx="157">
                  <c:v>34759</c:v>
                </c:pt>
                <c:pt idx="158">
                  <c:v>34790</c:v>
                </c:pt>
                <c:pt idx="159">
                  <c:v>34820</c:v>
                </c:pt>
                <c:pt idx="160">
                  <c:v>34851</c:v>
                </c:pt>
                <c:pt idx="161">
                  <c:v>34881</c:v>
                </c:pt>
                <c:pt idx="162">
                  <c:v>34912</c:v>
                </c:pt>
                <c:pt idx="163">
                  <c:v>34943</c:v>
                </c:pt>
                <c:pt idx="164">
                  <c:v>34973</c:v>
                </c:pt>
                <c:pt idx="165">
                  <c:v>35004</c:v>
                </c:pt>
                <c:pt idx="166">
                  <c:v>35034</c:v>
                </c:pt>
                <c:pt idx="167">
                  <c:v>35065</c:v>
                </c:pt>
                <c:pt idx="168">
                  <c:v>35096</c:v>
                </c:pt>
                <c:pt idx="169">
                  <c:v>35125</c:v>
                </c:pt>
                <c:pt idx="170">
                  <c:v>35156</c:v>
                </c:pt>
                <c:pt idx="171">
                  <c:v>35186</c:v>
                </c:pt>
                <c:pt idx="172">
                  <c:v>35217</c:v>
                </c:pt>
                <c:pt idx="173">
                  <c:v>35247</c:v>
                </c:pt>
                <c:pt idx="174">
                  <c:v>35278</c:v>
                </c:pt>
                <c:pt idx="175">
                  <c:v>35309</c:v>
                </c:pt>
                <c:pt idx="176">
                  <c:v>35339</c:v>
                </c:pt>
                <c:pt idx="177">
                  <c:v>35370</c:v>
                </c:pt>
                <c:pt idx="178">
                  <c:v>35400</c:v>
                </c:pt>
                <c:pt idx="179">
                  <c:v>35431</c:v>
                </c:pt>
                <c:pt idx="180">
                  <c:v>35462</c:v>
                </c:pt>
                <c:pt idx="181">
                  <c:v>35490</c:v>
                </c:pt>
                <c:pt idx="182">
                  <c:v>35521</c:v>
                </c:pt>
                <c:pt idx="183">
                  <c:v>35551</c:v>
                </c:pt>
                <c:pt idx="184">
                  <c:v>35582</c:v>
                </c:pt>
                <c:pt idx="185">
                  <c:v>35612</c:v>
                </c:pt>
                <c:pt idx="186">
                  <c:v>35643</c:v>
                </c:pt>
                <c:pt idx="187">
                  <c:v>35674</c:v>
                </c:pt>
                <c:pt idx="188">
                  <c:v>35704</c:v>
                </c:pt>
                <c:pt idx="189">
                  <c:v>35735</c:v>
                </c:pt>
                <c:pt idx="190">
                  <c:v>35765</c:v>
                </c:pt>
                <c:pt idx="191">
                  <c:v>35796</c:v>
                </c:pt>
                <c:pt idx="192">
                  <c:v>35827</c:v>
                </c:pt>
                <c:pt idx="193">
                  <c:v>35855</c:v>
                </c:pt>
                <c:pt idx="194">
                  <c:v>35886</c:v>
                </c:pt>
                <c:pt idx="195">
                  <c:v>35916</c:v>
                </c:pt>
                <c:pt idx="196">
                  <c:v>35947</c:v>
                </c:pt>
                <c:pt idx="197">
                  <c:v>35977</c:v>
                </c:pt>
                <c:pt idx="198">
                  <c:v>36008</c:v>
                </c:pt>
                <c:pt idx="199">
                  <c:v>36039</c:v>
                </c:pt>
                <c:pt idx="200">
                  <c:v>36069</c:v>
                </c:pt>
                <c:pt idx="201">
                  <c:v>36100</c:v>
                </c:pt>
                <c:pt idx="202">
                  <c:v>36130</c:v>
                </c:pt>
                <c:pt idx="203">
                  <c:v>36161</c:v>
                </c:pt>
                <c:pt idx="204">
                  <c:v>36192</c:v>
                </c:pt>
                <c:pt idx="205">
                  <c:v>36220</c:v>
                </c:pt>
                <c:pt idx="206">
                  <c:v>36251</c:v>
                </c:pt>
                <c:pt idx="207">
                  <c:v>36281</c:v>
                </c:pt>
                <c:pt idx="208">
                  <c:v>36312</c:v>
                </c:pt>
                <c:pt idx="209">
                  <c:v>36342</c:v>
                </c:pt>
                <c:pt idx="210">
                  <c:v>36373</c:v>
                </c:pt>
                <c:pt idx="211">
                  <c:v>36404</c:v>
                </c:pt>
                <c:pt idx="212">
                  <c:v>36434</c:v>
                </c:pt>
                <c:pt idx="213">
                  <c:v>36465</c:v>
                </c:pt>
                <c:pt idx="214">
                  <c:v>36495</c:v>
                </c:pt>
                <c:pt idx="215">
                  <c:v>36526</c:v>
                </c:pt>
                <c:pt idx="216">
                  <c:v>36557</c:v>
                </c:pt>
                <c:pt idx="217">
                  <c:v>36586</c:v>
                </c:pt>
                <c:pt idx="218">
                  <c:v>36617</c:v>
                </c:pt>
                <c:pt idx="219">
                  <c:v>36647</c:v>
                </c:pt>
                <c:pt idx="220">
                  <c:v>36678</c:v>
                </c:pt>
                <c:pt idx="221">
                  <c:v>36708</c:v>
                </c:pt>
                <c:pt idx="222">
                  <c:v>36739</c:v>
                </c:pt>
                <c:pt idx="223">
                  <c:v>36770</c:v>
                </c:pt>
                <c:pt idx="224">
                  <c:v>36800</c:v>
                </c:pt>
                <c:pt idx="225">
                  <c:v>36831</c:v>
                </c:pt>
                <c:pt idx="226">
                  <c:v>36861</c:v>
                </c:pt>
                <c:pt idx="227">
                  <c:v>36892</c:v>
                </c:pt>
                <c:pt idx="228">
                  <c:v>36923</c:v>
                </c:pt>
                <c:pt idx="229">
                  <c:v>36951</c:v>
                </c:pt>
                <c:pt idx="230">
                  <c:v>36982</c:v>
                </c:pt>
                <c:pt idx="231">
                  <c:v>37012</c:v>
                </c:pt>
                <c:pt idx="232">
                  <c:v>37043</c:v>
                </c:pt>
                <c:pt idx="233">
                  <c:v>37073</c:v>
                </c:pt>
                <c:pt idx="234">
                  <c:v>37104</c:v>
                </c:pt>
                <c:pt idx="235">
                  <c:v>37135</c:v>
                </c:pt>
                <c:pt idx="236">
                  <c:v>37165</c:v>
                </c:pt>
                <c:pt idx="237">
                  <c:v>37196</c:v>
                </c:pt>
                <c:pt idx="238">
                  <c:v>37226</c:v>
                </c:pt>
                <c:pt idx="239">
                  <c:v>37257</c:v>
                </c:pt>
                <c:pt idx="240">
                  <c:v>37288</c:v>
                </c:pt>
                <c:pt idx="241">
                  <c:v>37316</c:v>
                </c:pt>
                <c:pt idx="242">
                  <c:v>37347</c:v>
                </c:pt>
                <c:pt idx="243">
                  <c:v>37377</c:v>
                </c:pt>
                <c:pt idx="244">
                  <c:v>37408</c:v>
                </c:pt>
                <c:pt idx="245">
                  <c:v>37438</c:v>
                </c:pt>
                <c:pt idx="246">
                  <c:v>37469</c:v>
                </c:pt>
                <c:pt idx="247">
                  <c:v>37500</c:v>
                </c:pt>
                <c:pt idx="248">
                  <c:v>37530</c:v>
                </c:pt>
                <c:pt idx="249">
                  <c:v>37561</c:v>
                </c:pt>
                <c:pt idx="250">
                  <c:v>37591</c:v>
                </c:pt>
                <c:pt idx="251">
                  <c:v>37622</c:v>
                </c:pt>
                <c:pt idx="252">
                  <c:v>37653</c:v>
                </c:pt>
                <c:pt idx="253">
                  <c:v>37681</c:v>
                </c:pt>
                <c:pt idx="254">
                  <c:v>37712</c:v>
                </c:pt>
                <c:pt idx="255">
                  <c:v>37742</c:v>
                </c:pt>
                <c:pt idx="256">
                  <c:v>37773</c:v>
                </c:pt>
                <c:pt idx="257">
                  <c:v>37803</c:v>
                </c:pt>
                <c:pt idx="258">
                  <c:v>37834</c:v>
                </c:pt>
                <c:pt idx="259">
                  <c:v>37865</c:v>
                </c:pt>
                <c:pt idx="260">
                  <c:v>37895</c:v>
                </c:pt>
                <c:pt idx="261">
                  <c:v>37926</c:v>
                </c:pt>
                <c:pt idx="262">
                  <c:v>37956</c:v>
                </c:pt>
                <c:pt idx="263">
                  <c:v>37987</c:v>
                </c:pt>
                <c:pt idx="264">
                  <c:v>38018</c:v>
                </c:pt>
                <c:pt idx="265">
                  <c:v>38047</c:v>
                </c:pt>
                <c:pt idx="266">
                  <c:v>38078</c:v>
                </c:pt>
                <c:pt idx="267">
                  <c:v>38108</c:v>
                </c:pt>
                <c:pt idx="268">
                  <c:v>38139</c:v>
                </c:pt>
                <c:pt idx="269">
                  <c:v>38169</c:v>
                </c:pt>
                <c:pt idx="270">
                  <c:v>38200</c:v>
                </c:pt>
                <c:pt idx="271">
                  <c:v>38231</c:v>
                </c:pt>
                <c:pt idx="272">
                  <c:v>38261</c:v>
                </c:pt>
                <c:pt idx="273">
                  <c:v>38292</c:v>
                </c:pt>
                <c:pt idx="274">
                  <c:v>38322</c:v>
                </c:pt>
                <c:pt idx="275">
                  <c:v>38353</c:v>
                </c:pt>
                <c:pt idx="276">
                  <c:v>38384</c:v>
                </c:pt>
                <c:pt idx="277">
                  <c:v>38412</c:v>
                </c:pt>
                <c:pt idx="278">
                  <c:v>38443</c:v>
                </c:pt>
                <c:pt idx="279">
                  <c:v>38473</c:v>
                </c:pt>
                <c:pt idx="280">
                  <c:v>38504</c:v>
                </c:pt>
                <c:pt idx="281">
                  <c:v>38534</c:v>
                </c:pt>
                <c:pt idx="282">
                  <c:v>38565</c:v>
                </c:pt>
                <c:pt idx="283">
                  <c:v>38596</c:v>
                </c:pt>
                <c:pt idx="284">
                  <c:v>38626</c:v>
                </c:pt>
                <c:pt idx="285">
                  <c:v>38657</c:v>
                </c:pt>
                <c:pt idx="286">
                  <c:v>38687</c:v>
                </c:pt>
                <c:pt idx="287">
                  <c:v>38718</c:v>
                </c:pt>
                <c:pt idx="288">
                  <c:v>38749</c:v>
                </c:pt>
                <c:pt idx="289">
                  <c:v>38777</c:v>
                </c:pt>
                <c:pt idx="290">
                  <c:v>38808</c:v>
                </c:pt>
                <c:pt idx="291">
                  <c:v>38838</c:v>
                </c:pt>
                <c:pt idx="292">
                  <c:v>38869</c:v>
                </c:pt>
                <c:pt idx="293">
                  <c:v>38899</c:v>
                </c:pt>
                <c:pt idx="294">
                  <c:v>38930</c:v>
                </c:pt>
                <c:pt idx="295">
                  <c:v>38961</c:v>
                </c:pt>
                <c:pt idx="296">
                  <c:v>38991</c:v>
                </c:pt>
                <c:pt idx="297">
                  <c:v>39022</c:v>
                </c:pt>
                <c:pt idx="298">
                  <c:v>39052</c:v>
                </c:pt>
                <c:pt idx="299">
                  <c:v>39083</c:v>
                </c:pt>
                <c:pt idx="300">
                  <c:v>39114</c:v>
                </c:pt>
                <c:pt idx="301">
                  <c:v>39142</c:v>
                </c:pt>
                <c:pt idx="302">
                  <c:v>39173</c:v>
                </c:pt>
                <c:pt idx="303">
                  <c:v>39203</c:v>
                </c:pt>
                <c:pt idx="304">
                  <c:v>39234</c:v>
                </c:pt>
                <c:pt idx="305">
                  <c:v>39264</c:v>
                </c:pt>
                <c:pt idx="306">
                  <c:v>39295</c:v>
                </c:pt>
                <c:pt idx="307">
                  <c:v>39326</c:v>
                </c:pt>
                <c:pt idx="308">
                  <c:v>39356</c:v>
                </c:pt>
                <c:pt idx="309">
                  <c:v>39387</c:v>
                </c:pt>
                <c:pt idx="310">
                  <c:v>39417</c:v>
                </c:pt>
                <c:pt idx="311">
                  <c:v>39448</c:v>
                </c:pt>
                <c:pt idx="312">
                  <c:v>39479</c:v>
                </c:pt>
                <c:pt idx="313">
                  <c:v>39508</c:v>
                </c:pt>
                <c:pt idx="314">
                  <c:v>39539</c:v>
                </c:pt>
                <c:pt idx="315">
                  <c:v>39569</c:v>
                </c:pt>
                <c:pt idx="316">
                  <c:v>39600</c:v>
                </c:pt>
                <c:pt idx="317">
                  <c:v>39630</c:v>
                </c:pt>
                <c:pt idx="318">
                  <c:v>39661</c:v>
                </c:pt>
                <c:pt idx="319">
                  <c:v>39692</c:v>
                </c:pt>
                <c:pt idx="320">
                  <c:v>39722</c:v>
                </c:pt>
                <c:pt idx="321">
                  <c:v>39753</c:v>
                </c:pt>
                <c:pt idx="322">
                  <c:v>39783</c:v>
                </c:pt>
                <c:pt idx="323">
                  <c:v>39814</c:v>
                </c:pt>
                <c:pt idx="324">
                  <c:v>39845</c:v>
                </c:pt>
                <c:pt idx="325">
                  <c:v>39873</c:v>
                </c:pt>
                <c:pt idx="326">
                  <c:v>39904</c:v>
                </c:pt>
                <c:pt idx="327">
                  <c:v>39934</c:v>
                </c:pt>
                <c:pt idx="328">
                  <c:v>39965</c:v>
                </c:pt>
                <c:pt idx="329">
                  <c:v>39995</c:v>
                </c:pt>
                <c:pt idx="330">
                  <c:v>40026</c:v>
                </c:pt>
                <c:pt idx="331">
                  <c:v>40057</c:v>
                </c:pt>
                <c:pt idx="332">
                  <c:v>40087</c:v>
                </c:pt>
                <c:pt idx="333">
                  <c:v>40118</c:v>
                </c:pt>
                <c:pt idx="334">
                  <c:v>40148</c:v>
                </c:pt>
                <c:pt idx="335">
                  <c:v>40179</c:v>
                </c:pt>
                <c:pt idx="336">
                  <c:v>40210</c:v>
                </c:pt>
                <c:pt idx="337">
                  <c:v>40238</c:v>
                </c:pt>
                <c:pt idx="338">
                  <c:v>40269</c:v>
                </c:pt>
                <c:pt idx="339">
                  <c:v>40299</c:v>
                </c:pt>
                <c:pt idx="340">
                  <c:v>40330</c:v>
                </c:pt>
                <c:pt idx="341">
                  <c:v>40360</c:v>
                </c:pt>
                <c:pt idx="342">
                  <c:v>40391</c:v>
                </c:pt>
                <c:pt idx="343">
                  <c:v>40422</c:v>
                </c:pt>
                <c:pt idx="344">
                  <c:v>40452</c:v>
                </c:pt>
                <c:pt idx="345">
                  <c:v>40483</c:v>
                </c:pt>
                <c:pt idx="346">
                  <c:v>40513</c:v>
                </c:pt>
                <c:pt idx="347">
                  <c:v>40544</c:v>
                </c:pt>
                <c:pt idx="348">
                  <c:v>40575</c:v>
                </c:pt>
                <c:pt idx="349">
                  <c:v>40603</c:v>
                </c:pt>
                <c:pt idx="350">
                  <c:v>40634</c:v>
                </c:pt>
                <c:pt idx="351">
                  <c:v>40664</c:v>
                </c:pt>
                <c:pt idx="352">
                  <c:v>40695</c:v>
                </c:pt>
                <c:pt idx="353">
                  <c:v>40725</c:v>
                </c:pt>
                <c:pt idx="354">
                  <c:v>40756</c:v>
                </c:pt>
                <c:pt idx="355">
                  <c:v>40787</c:v>
                </c:pt>
                <c:pt idx="356">
                  <c:v>40817</c:v>
                </c:pt>
                <c:pt idx="357">
                  <c:v>40848</c:v>
                </c:pt>
                <c:pt idx="358">
                  <c:v>40878</c:v>
                </c:pt>
                <c:pt idx="359">
                  <c:v>40909</c:v>
                </c:pt>
                <c:pt idx="360">
                  <c:v>40940</c:v>
                </c:pt>
                <c:pt idx="361">
                  <c:v>40969</c:v>
                </c:pt>
                <c:pt idx="362">
                  <c:v>41000</c:v>
                </c:pt>
                <c:pt idx="363">
                  <c:v>41030</c:v>
                </c:pt>
                <c:pt idx="364">
                  <c:v>41061</c:v>
                </c:pt>
                <c:pt idx="365">
                  <c:v>41091</c:v>
                </c:pt>
                <c:pt idx="366">
                  <c:v>41122</c:v>
                </c:pt>
                <c:pt idx="367">
                  <c:v>41153</c:v>
                </c:pt>
                <c:pt idx="368">
                  <c:v>41183</c:v>
                </c:pt>
                <c:pt idx="369">
                  <c:v>41214</c:v>
                </c:pt>
                <c:pt idx="370">
                  <c:v>41244</c:v>
                </c:pt>
                <c:pt idx="371">
                  <c:v>41275</c:v>
                </c:pt>
                <c:pt idx="372">
                  <c:v>41306</c:v>
                </c:pt>
                <c:pt idx="373">
                  <c:v>41334</c:v>
                </c:pt>
                <c:pt idx="374">
                  <c:v>41365</c:v>
                </c:pt>
                <c:pt idx="375">
                  <c:v>41395</c:v>
                </c:pt>
                <c:pt idx="376">
                  <c:v>41426</c:v>
                </c:pt>
                <c:pt idx="377">
                  <c:v>41456</c:v>
                </c:pt>
                <c:pt idx="378">
                  <c:v>41487</c:v>
                </c:pt>
                <c:pt idx="379">
                  <c:v>41518</c:v>
                </c:pt>
                <c:pt idx="380">
                  <c:v>41548</c:v>
                </c:pt>
                <c:pt idx="381">
                  <c:v>41579</c:v>
                </c:pt>
                <c:pt idx="382">
                  <c:v>41609</c:v>
                </c:pt>
                <c:pt idx="383">
                  <c:v>41640</c:v>
                </c:pt>
                <c:pt idx="384">
                  <c:v>41671</c:v>
                </c:pt>
                <c:pt idx="385">
                  <c:v>41699</c:v>
                </c:pt>
                <c:pt idx="386">
                  <c:v>41730</c:v>
                </c:pt>
                <c:pt idx="387">
                  <c:v>41760</c:v>
                </c:pt>
                <c:pt idx="388">
                  <c:v>41791</c:v>
                </c:pt>
                <c:pt idx="389">
                  <c:v>41821</c:v>
                </c:pt>
                <c:pt idx="390">
                  <c:v>41852</c:v>
                </c:pt>
                <c:pt idx="391">
                  <c:v>41883</c:v>
                </c:pt>
                <c:pt idx="392">
                  <c:v>41913</c:v>
                </c:pt>
                <c:pt idx="393">
                  <c:v>41944</c:v>
                </c:pt>
                <c:pt idx="394">
                  <c:v>41974</c:v>
                </c:pt>
                <c:pt idx="395">
                  <c:v>42005</c:v>
                </c:pt>
                <c:pt idx="396">
                  <c:v>42036</c:v>
                </c:pt>
                <c:pt idx="397">
                  <c:v>42064</c:v>
                </c:pt>
                <c:pt idx="398">
                  <c:v>42095</c:v>
                </c:pt>
                <c:pt idx="399">
                  <c:v>42125</c:v>
                </c:pt>
                <c:pt idx="400">
                  <c:v>42156</c:v>
                </c:pt>
                <c:pt idx="401">
                  <c:v>42186</c:v>
                </c:pt>
                <c:pt idx="402">
                  <c:v>42217</c:v>
                </c:pt>
                <c:pt idx="403">
                  <c:v>42248</c:v>
                </c:pt>
                <c:pt idx="404">
                  <c:v>42278</c:v>
                </c:pt>
                <c:pt idx="405">
                  <c:v>42309</c:v>
                </c:pt>
                <c:pt idx="406">
                  <c:v>42339</c:v>
                </c:pt>
                <c:pt idx="407">
                  <c:v>42370</c:v>
                </c:pt>
                <c:pt idx="408">
                  <c:v>42401</c:v>
                </c:pt>
                <c:pt idx="409">
                  <c:v>42430</c:v>
                </c:pt>
                <c:pt idx="410">
                  <c:v>42461</c:v>
                </c:pt>
                <c:pt idx="411">
                  <c:v>42491</c:v>
                </c:pt>
                <c:pt idx="412">
                  <c:v>42522</c:v>
                </c:pt>
                <c:pt idx="413">
                  <c:v>42552</c:v>
                </c:pt>
                <c:pt idx="414">
                  <c:v>42583</c:v>
                </c:pt>
                <c:pt idx="415">
                  <c:v>42614</c:v>
                </c:pt>
                <c:pt idx="416">
                  <c:v>42644</c:v>
                </c:pt>
                <c:pt idx="417">
                  <c:v>42675</c:v>
                </c:pt>
                <c:pt idx="418">
                  <c:v>42705</c:v>
                </c:pt>
                <c:pt idx="419">
                  <c:v>42736</c:v>
                </c:pt>
                <c:pt idx="420">
                  <c:v>42767</c:v>
                </c:pt>
                <c:pt idx="421">
                  <c:v>42795</c:v>
                </c:pt>
                <c:pt idx="422">
                  <c:v>42826</c:v>
                </c:pt>
                <c:pt idx="423">
                  <c:v>42856</c:v>
                </c:pt>
                <c:pt idx="424">
                  <c:v>42887</c:v>
                </c:pt>
                <c:pt idx="425">
                  <c:v>42917</c:v>
                </c:pt>
                <c:pt idx="426">
                  <c:v>42948</c:v>
                </c:pt>
                <c:pt idx="427">
                  <c:v>42979</c:v>
                </c:pt>
                <c:pt idx="428">
                  <c:v>43009</c:v>
                </c:pt>
                <c:pt idx="429">
                  <c:v>43040</c:v>
                </c:pt>
                <c:pt idx="430">
                  <c:v>43070</c:v>
                </c:pt>
                <c:pt idx="431">
                  <c:v>43101</c:v>
                </c:pt>
                <c:pt idx="432">
                  <c:v>43132</c:v>
                </c:pt>
                <c:pt idx="433">
                  <c:v>43160</c:v>
                </c:pt>
                <c:pt idx="434">
                  <c:v>43191</c:v>
                </c:pt>
                <c:pt idx="435">
                  <c:v>43221</c:v>
                </c:pt>
                <c:pt idx="436">
                  <c:v>43252</c:v>
                </c:pt>
                <c:pt idx="437">
                  <c:v>43282</c:v>
                </c:pt>
                <c:pt idx="438">
                  <c:v>43313</c:v>
                </c:pt>
                <c:pt idx="439">
                  <c:v>43344</c:v>
                </c:pt>
                <c:pt idx="440">
                  <c:v>43374</c:v>
                </c:pt>
                <c:pt idx="441">
                  <c:v>43405</c:v>
                </c:pt>
                <c:pt idx="442">
                  <c:v>43435</c:v>
                </c:pt>
                <c:pt idx="443">
                  <c:v>43466</c:v>
                </c:pt>
                <c:pt idx="444">
                  <c:v>43497</c:v>
                </c:pt>
                <c:pt idx="445">
                  <c:v>43525</c:v>
                </c:pt>
                <c:pt idx="446">
                  <c:v>43556</c:v>
                </c:pt>
                <c:pt idx="447">
                  <c:v>43586</c:v>
                </c:pt>
                <c:pt idx="448">
                  <c:v>43617</c:v>
                </c:pt>
                <c:pt idx="449">
                  <c:v>43647</c:v>
                </c:pt>
                <c:pt idx="450">
                  <c:v>43678</c:v>
                </c:pt>
                <c:pt idx="451">
                  <c:v>43709</c:v>
                </c:pt>
                <c:pt idx="452">
                  <c:v>43739</c:v>
                </c:pt>
                <c:pt idx="453">
                  <c:v>43770</c:v>
                </c:pt>
                <c:pt idx="454">
                  <c:v>43800</c:v>
                </c:pt>
                <c:pt idx="455">
                  <c:v>43831</c:v>
                </c:pt>
                <c:pt idx="456">
                  <c:v>43862</c:v>
                </c:pt>
                <c:pt idx="457">
                  <c:v>43891</c:v>
                </c:pt>
                <c:pt idx="458">
                  <c:v>43922</c:v>
                </c:pt>
                <c:pt idx="459">
                  <c:v>43952</c:v>
                </c:pt>
                <c:pt idx="460">
                  <c:v>43983</c:v>
                </c:pt>
                <c:pt idx="461">
                  <c:v>44013</c:v>
                </c:pt>
                <c:pt idx="462">
                  <c:v>44044</c:v>
                </c:pt>
                <c:pt idx="463">
                  <c:v>44075</c:v>
                </c:pt>
                <c:pt idx="464">
                  <c:v>44105</c:v>
                </c:pt>
                <c:pt idx="465">
                  <c:v>44136</c:v>
                </c:pt>
                <c:pt idx="466">
                  <c:v>44166</c:v>
                </c:pt>
                <c:pt idx="467">
                  <c:v>44197</c:v>
                </c:pt>
                <c:pt idx="468">
                  <c:v>44228</c:v>
                </c:pt>
                <c:pt idx="469">
                  <c:v>44256</c:v>
                </c:pt>
                <c:pt idx="470">
                  <c:v>44287</c:v>
                </c:pt>
                <c:pt idx="471">
                  <c:v>44317</c:v>
                </c:pt>
                <c:pt idx="472">
                  <c:v>44348</c:v>
                </c:pt>
                <c:pt idx="473">
                  <c:v>44378</c:v>
                </c:pt>
                <c:pt idx="474">
                  <c:v>44409</c:v>
                </c:pt>
                <c:pt idx="475">
                  <c:v>44440</c:v>
                </c:pt>
                <c:pt idx="476">
                  <c:v>44470</c:v>
                </c:pt>
                <c:pt idx="477">
                  <c:v>44501</c:v>
                </c:pt>
                <c:pt idx="478">
                  <c:v>44531</c:v>
                </c:pt>
                <c:pt idx="479">
                  <c:v>44562</c:v>
                </c:pt>
                <c:pt idx="480">
                  <c:v>44593</c:v>
                </c:pt>
                <c:pt idx="481">
                  <c:v>44621</c:v>
                </c:pt>
                <c:pt idx="482">
                  <c:v>44652</c:v>
                </c:pt>
                <c:pt idx="483">
                  <c:v>44682</c:v>
                </c:pt>
                <c:pt idx="484">
                  <c:v>44713</c:v>
                </c:pt>
                <c:pt idx="485">
                  <c:v>44743</c:v>
                </c:pt>
                <c:pt idx="486">
                  <c:v>44774</c:v>
                </c:pt>
                <c:pt idx="487">
                  <c:v>44805</c:v>
                </c:pt>
                <c:pt idx="488">
                  <c:v>44835</c:v>
                </c:pt>
                <c:pt idx="489">
                  <c:v>44866</c:v>
                </c:pt>
                <c:pt idx="490">
                  <c:v>44896</c:v>
                </c:pt>
                <c:pt idx="491">
                  <c:v>44927</c:v>
                </c:pt>
                <c:pt idx="492">
                  <c:v>44958</c:v>
                </c:pt>
                <c:pt idx="493">
                  <c:v>44986</c:v>
                </c:pt>
                <c:pt idx="494">
                  <c:v>45017</c:v>
                </c:pt>
                <c:pt idx="495">
                  <c:v>45047</c:v>
                </c:pt>
                <c:pt idx="496">
                  <c:v>45078</c:v>
                </c:pt>
                <c:pt idx="497">
                  <c:v>45108</c:v>
                </c:pt>
                <c:pt idx="498">
                  <c:v>45139</c:v>
                </c:pt>
                <c:pt idx="499">
                  <c:v>45170</c:v>
                </c:pt>
                <c:pt idx="500">
                  <c:v>45200</c:v>
                </c:pt>
                <c:pt idx="501">
                  <c:v>45231</c:v>
                </c:pt>
                <c:pt idx="502">
                  <c:v>45261</c:v>
                </c:pt>
                <c:pt idx="503">
                  <c:v>45292</c:v>
                </c:pt>
                <c:pt idx="504">
                  <c:v>45323</c:v>
                </c:pt>
                <c:pt idx="505">
                  <c:v>45352</c:v>
                </c:pt>
                <c:pt idx="506">
                  <c:v>45383</c:v>
                </c:pt>
                <c:pt idx="507">
                  <c:v>45413</c:v>
                </c:pt>
                <c:pt idx="508">
                  <c:v>45444</c:v>
                </c:pt>
                <c:pt idx="509">
                  <c:v>45474</c:v>
                </c:pt>
                <c:pt idx="510">
                  <c:v>45505</c:v>
                </c:pt>
                <c:pt idx="511">
                  <c:v>45536</c:v>
                </c:pt>
                <c:pt idx="512">
                  <c:v>45566</c:v>
                </c:pt>
                <c:pt idx="513">
                  <c:v>45597</c:v>
                </c:pt>
                <c:pt idx="514">
                  <c:v>45627</c:v>
                </c:pt>
                <c:pt idx="515">
                  <c:v>45658</c:v>
                </c:pt>
                <c:pt idx="516">
                  <c:v>45689</c:v>
                </c:pt>
                <c:pt idx="517">
                  <c:v>45717</c:v>
                </c:pt>
                <c:pt idx="518">
                  <c:v>45748</c:v>
                </c:pt>
                <c:pt idx="519">
                  <c:v>45778</c:v>
                </c:pt>
                <c:pt idx="520">
                  <c:v>45809</c:v>
                </c:pt>
                <c:pt idx="521">
                  <c:v>45839</c:v>
                </c:pt>
                <c:pt idx="522">
                  <c:v>45870</c:v>
                </c:pt>
                <c:pt idx="523">
                  <c:v>45901</c:v>
                </c:pt>
                <c:pt idx="524">
                  <c:v>45931</c:v>
                </c:pt>
                <c:pt idx="525">
                  <c:v>45962</c:v>
                </c:pt>
                <c:pt idx="526">
                  <c:v>45992</c:v>
                </c:pt>
                <c:pt idx="527">
                  <c:v>46023</c:v>
                </c:pt>
                <c:pt idx="528">
                  <c:v>46054</c:v>
                </c:pt>
                <c:pt idx="529">
                  <c:v>46082</c:v>
                </c:pt>
                <c:pt idx="530">
                  <c:v>46113</c:v>
                </c:pt>
                <c:pt idx="531">
                  <c:v>46143</c:v>
                </c:pt>
                <c:pt idx="532">
                  <c:v>46174</c:v>
                </c:pt>
                <c:pt idx="533">
                  <c:v>46204</c:v>
                </c:pt>
                <c:pt idx="534">
                  <c:v>46235</c:v>
                </c:pt>
                <c:pt idx="535">
                  <c:v>46266</c:v>
                </c:pt>
                <c:pt idx="536">
                  <c:v>46296</c:v>
                </c:pt>
                <c:pt idx="537">
                  <c:v>46327</c:v>
                </c:pt>
                <c:pt idx="538">
                  <c:v>46357</c:v>
                </c:pt>
              </c:numCache>
            </c:numRef>
          </c:cat>
          <c:val>
            <c:numRef>
              <c:f>'Inflation Rate'!$H$3:$H$541</c:f>
              <c:numCache>
                <c:formatCode>0.00</c:formatCode>
                <c:ptCount val="539"/>
                <c:pt idx="0">
                  <c:v>0.318133616118767</c:v>
                </c:pt>
                <c:pt idx="1">
                  <c:v>-0.10570824524312296</c:v>
                </c:pt>
                <c:pt idx="2">
                  <c:v>0.42328042328042931</c:v>
                </c:pt>
                <c:pt idx="3">
                  <c:v>0.9483667017913503</c:v>
                </c:pt>
                <c:pt idx="4">
                  <c:v>1.2526096033402954</c:v>
                </c:pt>
                <c:pt idx="5">
                  <c:v>0.51546391752577314</c:v>
                </c:pt>
                <c:pt idx="6">
                  <c:v>0.20512820512820804</c:v>
                </c:pt>
                <c:pt idx="7">
                  <c:v>0.20470829068577567</c:v>
                </c:pt>
                <c:pt idx="8">
                  <c:v>0.30643513789580912</c:v>
                </c:pt>
                <c:pt idx="9">
                  <c:v>-0.20366598778004363</c:v>
                </c:pt>
                <c:pt idx="10">
                  <c:v>-0.40816326530612823</c:v>
                </c:pt>
                <c:pt idx="11">
                  <c:v>0.20491803278688817</c:v>
                </c:pt>
                <c:pt idx="12">
                  <c:v>0.10224948875256497</c:v>
                </c:pt>
                <c:pt idx="13" formatCode="General">
                  <c:v>0</c:v>
                </c:pt>
                <c:pt idx="14">
                  <c:v>0.71501532175688309</c:v>
                </c:pt>
                <c:pt idx="15">
                  <c:v>0.60851926977688497</c:v>
                </c:pt>
                <c:pt idx="16">
                  <c:v>0.3024193548387068</c:v>
                </c:pt>
                <c:pt idx="17">
                  <c:v>0.40201005025126196</c:v>
                </c:pt>
                <c:pt idx="18">
                  <c:v>0.30030030030029742</c:v>
                </c:pt>
                <c:pt idx="19">
                  <c:v>0.49900199600798401</c:v>
                </c:pt>
                <c:pt idx="20">
                  <c:v>0.29791459781529012</c:v>
                </c:pt>
                <c:pt idx="21">
                  <c:v>0.19801980198020083</c:v>
                </c:pt>
                <c:pt idx="22">
                  <c:v>9.8814229249006236E-2</c:v>
                </c:pt>
                <c:pt idx="23">
                  <c:v>0.59230009871669154</c:v>
                </c:pt>
                <c:pt idx="24">
                  <c:v>0.49067713444553479</c:v>
                </c:pt>
                <c:pt idx="25">
                  <c:v>0.1953124999999889</c:v>
                </c:pt>
                <c:pt idx="26">
                  <c:v>0.48732943469785583</c:v>
                </c:pt>
                <c:pt idx="27">
                  <c:v>0.29097963142581124</c:v>
                </c:pt>
                <c:pt idx="28">
                  <c:v>0.2901353965183725</c:v>
                </c:pt>
                <c:pt idx="29">
                  <c:v>0.38572806171648166</c:v>
                </c:pt>
                <c:pt idx="30">
                  <c:v>0.38424591738713326</c:v>
                </c:pt>
                <c:pt idx="31">
                  <c:v>0.4784688995215311</c:v>
                </c:pt>
                <c:pt idx="32">
                  <c:v>0.28571428571428303</c:v>
                </c:pt>
                <c:pt idx="33">
                  <c:v>0</c:v>
                </c:pt>
                <c:pt idx="34">
                  <c:v>0</c:v>
                </c:pt>
                <c:pt idx="35">
                  <c:v>0.18993352326685931</c:v>
                </c:pt>
                <c:pt idx="36">
                  <c:v>0.47393364928909953</c:v>
                </c:pt>
                <c:pt idx="37">
                  <c:v>0.37735849056604309</c:v>
                </c:pt>
                <c:pt idx="38">
                  <c:v>0.46992481203007519</c:v>
                </c:pt>
                <c:pt idx="39">
                  <c:v>0.37418147801683022</c:v>
                </c:pt>
                <c:pt idx="40">
                  <c:v>0.27958993476234595</c:v>
                </c:pt>
                <c:pt idx="41">
                  <c:v>0.18587360594795804</c:v>
                </c:pt>
                <c:pt idx="42">
                  <c:v>0.18552875695733104</c:v>
                </c:pt>
                <c:pt idx="43">
                  <c:v>0.27777777777777513</c:v>
                </c:pt>
                <c:pt idx="44">
                  <c:v>0.36934441366574861</c:v>
                </c:pt>
                <c:pt idx="45">
                  <c:v>0.27598896044157972</c:v>
                </c:pt>
                <c:pt idx="46">
                  <c:v>0.27522935779816254</c:v>
                </c:pt>
                <c:pt idx="47">
                  <c:v>0.27447392497712458</c:v>
                </c:pt>
                <c:pt idx="48">
                  <c:v>-0.27372262773722367</c:v>
                </c:pt>
                <c:pt idx="49">
                  <c:v>-0.45745654162854532</c:v>
                </c:pt>
                <c:pt idx="50">
                  <c:v>-0.18382352941176733</c:v>
                </c:pt>
                <c:pt idx="51">
                  <c:v>0.27624309392266244</c:v>
                </c:pt>
                <c:pt idx="52">
                  <c:v>0.55096418732781838</c:v>
                </c:pt>
                <c:pt idx="53">
                  <c:v>0</c:v>
                </c:pt>
                <c:pt idx="54">
                  <c:v>0.18264840182648662</c:v>
                </c:pt>
                <c:pt idx="55">
                  <c:v>0.45578851412944388</c:v>
                </c:pt>
                <c:pt idx="56">
                  <c:v>9.0744101633388669E-2</c:v>
                </c:pt>
                <c:pt idx="57">
                  <c:v>9.0661831369001383E-2</c:v>
                </c:pt>
                <c:pt idx="58">
                  <c:v>9.0579710144922387E-2</c:v>
                </c:pt>
                <c:pt idx="59">
                  <c:v>0.63348416289593024</c:v>
                </c:pt>
                <c:pt idx="60">
                  <c:v>0.35971223021581966</c:v>
                </c:pt>
                <c:pt idx="61">
                  <c:v>0.44802867383512551</c:v>
                </c:pt>
                <c:pt idx="62">
                  <c:v>0.53523639607494078</c:v>
                </c:pt>
                <c:pt idx="63">
                  <c:v>0.35492457852705545</c:v>
                </c:pt>
                <c:pt idx="64">
                  <c:v>0.35366931918656563</c:v>
                </c:pt>
                <c:pt idx="65">
                  <c:v>0.26431718061673759</c:v>
                </c:pt>
                <c:pt idx="66">
                  <c:v>0.52724077328647501</c:v>
                </c:pt>
                <c:pt idx="67">
                  <c:v>0.52447552447551948</c:v>
                </c:pt>
                <c:pt idx="68">
                  <c:v>0.26086956521738885</c:v>
                </c:pt>
                <c:pt idx="69">
                  <c:v>8.6730268863840887E-2</c:v>
                </c:pt>
                <c:pt idx="70">
                  <c:v>0</c:v>
                </c:pt>
                <c:pt idx="71">
                  <c:v>0.25996533795493687</c:v>
                </c:pt>
                <c:pt idx="72">
                  <c:v>0.25929127052722312</c:v>
                </c:pt>
                <c:pt idx="73">
                  <c:v>0.43103448275862066</c:v>
                </c:pt>
                <c:pt idx="74">
                  <c:v>0.51502145922746301</c:v>
                </c:pt>
                <c:pt idx="75">
                  <c:v>0.34158838599488101</c:v>
                </c:pt>
                <c:pt idx="76">
                  <c:v>0.42553191489361702</c:v>
                </c:pt>
                <c:pt idx="77">
                  <c:v>0.42372881355932202</c:v>
                </c:pt>
                <c:pt idx="78">
                  <c:v>0.42194092827004215</c:v>
                </c:pt>
                <c:pt idx="79">
                  <c:v>0.67226890756302282</c:v>
                </c:pt>
                <c:pt idx="80">
                  <c:v>0.33388981636060572</c:v>
                </c:pt>
                <c:pt idx="81">
                  <c:v>8.3194675540760654E-2</c:v>
                </c:pt>
                <c:pt idx="82">
                  <c:v>0.16625103906899655</c:v>
                </c:pt>
                <c:pt idx="83">
                  <c:v>0.49792531120331479</c:v>
                </c:pt>
                <c:pt idx="84">
                  <c:v>0.41288191577208916</c:v>
                </c:pt>
                <c:pt idx="85">
                  <c:v>0.57565789473684448</c:v>
                </c:pt>
                <c:pt idx="86">
                  <c:v>0.65412919051512441</c:v>
                </c:pt>
                <c:pt idx="87">
                  <c:v>0.5686433793663711</c:v>
                </c:pt>
                <c:pt idx="88">
                  <c:v>0.24232633279482807</c:v>
                </c:pt>
                <c:pt idx="89">
                  <c:v>0.24174053182917918</c:v>
                </c:pt>
                <c:pt idx="90">
                  <c:v>0.16077170418005515</c:v>
                </c:pt>
                <c:pt idx="91">
                  <c:v>0.32102728731942676</c:v>
                </c:pt>
                <c:pt idx="92">
                  <c:v>0.47999999999999543</c:v>
                </c:pt>
                <c:pt idx="93">
                  <c:v>0.23885350318472243</c:v>
                </c:pt>
                <c:pt idx="94">
                  <c:v>0.15885623510721894</c:v>
                </c:pt>
                <c:pt idx="95">
                  <c:v>1.0309278350515554</c:v>
                </c:pt>
                <c:pt idx="96">
                  <c:v>0.47095761381475221</c:v>
                </c:pt>
                <c:pt idx="97">
                  <c:v>0.54687499999999112</c:v>
                </c:pt>
                <c:pt idx="98">
                  <c:v>0.15540015540016866</c:v>
                </c:pt>
                <c:pt idx="99">
                  <c:v>0.23273855702093324</c:v>
                </c:pt>
                <c:pt idx="100">
                  <c:v>0.54179566563468817</c:v>
                </c:pt>
                <c:pt idx="101">
                  <c:v>0.38491147036181672</c:v>
                </c:pt>
                <c:pt idx="102">
                  <c:v>0.92024539877299738</c:v>
                </c:pt>
                <c:pt idx="103">
                  <c:v>0.83586626139817211</c:v>
                </c:pt>
                <c:pt idx="104">
                  <c:v>0.6028636021100312</c:v>
                </c:pt>
                <c:pt idx="105">
                  <c:v>0.22471910112360402</c:v>
                </c:pt>
                <c:pt idx="106">
                  <c:v>0</c:v>
                </c:pt>
                <c:pt idx="107">
                  <c:v>0.59790732436471061</c:v>
                </c:pt>
                <c:pt idx="108">
                  <c:v>0.14858841010402457</c:v>
                </c:pt>
                <c:pt idx="109">
                  <c:v>0.14836795252224674</c:v>
                </c:pt>
                <c:pt idx="110">
                  <c:v>0.14814814814813973</c:v>
                </c:pt>
                <c:pt idx="111">
                  <c:v>0.2958579881656847</c:v>
                </c:pt>
                <c:pt idx="112">
                  <c:v>0.29498525073746734</c:v>
                </c:pt>
                <c:pt idx="113">
                  <c:v>0.14705882352940342</c:v>
                </c:pt>
                <c:pt idx="114">
                  <c:v>0.29368575624082649</c:v>
                </c:pt>
                <c:pt idx="115">
                  <c:v>0.43923865300145998</c:v>
                </c:pt>
                <c:pt idx="116">
                  <c:v>0.14577259475219903</c:v>
                </c:pt>
                <c:pt idx="117">
                  <c:v>0.29112081513828653</c:v>
                </c:pt>
                <c:pt idx="118">
                  <c:v>7.256894049346467E-2</c:v>
                </c:pt>
                <c:pt idx="119">
                  <c:v>0.14503263234226876</c:v>
                </c:pt>
                <c:pt idx="120">
                  <c:v>0.3620564808110065</c:v>
                </c:pt>
                <c:pt idx="121">
                  <c:v>0.50505050505051741</c:v>
                </c:pt>
                <c:pt idx="122">
                  <c:v>0.14357501794686908</c:v>
                </c:pt>
                <c:pt idx="123">
                  <c:v>0.143369175627232</c:v>
                </c:pt>
                <c:pt idx="124">
                  <c:v>0.35790980672870443</c:v>
                </c:pt>
                <c:pt idx="125">
                  <c:v>0.2139800285306786</c:v>
                </c:pt>
                <c:pt idx="126">
                  <c:v>0.28469750889680123</c:v>
                </c:pt>
                <c:pt idx="127">
                  <c:v>0.28388928317956402</c:v>
                </c:pt>
                <c:pt idx="128">
                  <c:v>0.35385704175513089</c:v>
                </c:pt>
                <c:pt idx="129">
                  <c:v>0.14104372355429382</c:v>
                </c:pt>
                <c:pt idx="130">
                  <c:v>-7.0422535211263598E-2</c:v>
                </c:pt>
                <c:pt idx="131">
                  <c:v>0.49330514446792717</c:v>
                </c:pt>
                <c:pt idx="132">
                  <c:v>0.35063113604488083</c:v>
                </c:pt>
                <c:pt idx="133">
                  <c:v>0.34940600978336828</c:v>
                </c:pt>
                <c:pt idx="134">
                  <c:v>0.27855153203343019</c:v>
                </c:pt>
                <c:pt idx="135">
                  <c:v>0.13888888888888101</c:v>
                </c:pt>
                <c:pt idx="136">
                  <c:v>0.13869625520112142</c:v>
                </c:pt>
                <c:pt idx="137">
                  <c:v>0</c:v>
                </c:pt>
                <c:pt idx="138">
                  <c:v>0.27700831024931144</c:v>
                </c:pt>
                <c:pt idx="139">
                  <c:v>0.20718232044197715</c:v>
                </c:pt>
                <c:pt idx="140">
                  <c:v>0.41350792556856947</c:v>
                </c:pt>
                <c:pt idx="141">
                  <c:v>6.8634179821566749E-2</c:v>
                </c:pt>
                <c:pt idx="142">
                  <c:v>0</c:v>
                </c:pt>
                <c:pt idx="143">
                  <c:v>0.274348422496555</c:v>
                </c:pt>
                <c:pt idx="144">
                  <c:v>0.34199726402188785</c:v>
                </c:pt>
                <c:pt idx="145">
                  <c:v>0.3408316291751875</c:v>
                </c:pt>
                <c:pt idx="146">
                  <c:v>0.1358695652174029</c:v>
                </c:pt>
                <c:pt idx="147">
                  <c:v>6.7842605156034144E-2</c:v>
                </c:pt>
                <c:pt idx="148">
                  <c:v>0.33898305084745761</c:v>
                </c:pt>
                <c:pt idx="149">
                  <c:v>0.27027027027027412</c:v>
                </c:pt>
                <c:pt idx="150">
                  <c:v>0.40431266846360797</c:v>
                </c:pt>
                <c:pt idx="151">
                  <c:v>0.26845637583892995</c:v>
                </c:pt>
                <c:pt idx="152">
                  <c:v>6.6934404283798071E-2</c:v>
                </c:pt>
                <c:pt idx="153">
                  <c:v>0.13377926421403924</c:v>
                </c:pt>
                <c:pt idx="154">
                  <c:v>0</c:v>
                </c:pt>
                <c:pt idx="155">
                  <c:v>0.40080160320642805</c:v>
                </c:pt>
                <c:pt idx="156">
                  <c:v>0.3992015968063834</c:v>
                </c:pt>
                <c:pt idx="157">
                  <c:v>0.33134526176275675</c:v>
                </c:pt>
                <c:pt idx="158">
                  <c:v>0.33025099075297221</c:v>
                </c:pt>
                <c:pt idx="159">
                  <c:v>0.19749835418037062</c:v>
                </c:pt>
                <c:pt idx="160">
                  <c:v>0.19710906701709027</c:v>
                </c:pt>
                <c:pt idx="161">
                  <c:v>0</c:v>
                </c:pt>
                <c:pt idx="162">
                  <c:v>0.26229508196721685</c:v>
                </c:pt>
                <c:pt idx="163">
                  <c:v>0.19620667102680378</c:v>
                </c:pt>
                <c:pt idx="164">
                  <c:v>0.32637075718015668</c:v>
                </c:pt>
                <c:pt idx="165">
                  <c:v>-6.5061808718278671E-2</c:v>
                </c:pt>
                <c:pt idx="166">
                  <c:v>-6.5104166666662966E-2</c:v>
                </c:pt>
                <c:pt idx="167">
                  <c:v>0.58631921824104605</c:v>
                </c:pt>
                <c:pt idx="168">
                  <c:v>0.32383419689119169</c:v>
                </c:pt>
                <c:pt idx="169">
                  <c:v>0.51646223369914968</c:v>
                </c:pt>
                <c:pt idx="170">
                  <c:v>0.38535645472063118</c:v>
                </c:pt>
                <c:pt idx="171">
                  <c:v>0.19193857965449965</c:v>
                </c:pt>
                <c:pt idx="172">
                  <c:v>6.3856960408680913E-2</c:v>
                </c:pt>
                <c:pt idx="173">
                  <c:v>0.19144862795150694</c:v>
                </c:pt>
                <c:pt idx="174">
                  <c:v>0.19108280254777793</c:v>
                </c:pt>
                <c:pt idx="175">
                  <c:v>0.31786395422759056</c:v>
                </c:pt>
                <c:pt idx="176">
                  <c:v>0.3168567807351077</c:v>
                </c:pt>
                <c:pt idx="177">
                  <c:v>0.18951358180668537</c:v>
                </c:pt>
                <c:pt idx="178">
                  <c:v>0</c:v>
                </c:pt>
                <c:pt idx="179">
                  <c:v>0.31525851197982346</c:v>
                </c:pt>
                <c:pt idx="180">
                  <c:v>0.31426775612822128</c:v>
                </c:pt>
                <c:pt idx="181">
                  <c:v>0.25062656641604369</c:v>
                </c:pt>
                <c:pt idx="182">
                  <c:v>0.12499999999999289</c:v>
                </c:pt>
                <c:pt idx="183">
                  <c:v>-6.2421972534328539E-2</c:v>
                </c:pt>
                <c:pt idx="184">
                  <c:v>0.12492192379763714</c:v>
                </c:pt>
                <c:pt idx="185">
                  <c:v>0.12476606363068536</c:v>
                </c:pt>
                <c:pt idx="186">
                  <c:v>0.18691588785047436</c:v>
                </c:pt>
                <c:pt idx="187">
                  <c:v>0.24875621890545849</c:v>
                </c:pt>
                <c:pt idx="188">
                  <c:v>0.24813895781638073</c:v>
                </c:pt>
                <c:pt idx="189">
                  <c:v>-6.188118811880837E-2</c:v>
                </c:pt>
                <c:pt idx="190">
                  <c:v>-0.12383900928791866</c:v>
                </c:pt>
                <c:pt idx="191">
                  <c:v>0.18598884066954924</c:v>
                </c:pt>
                <c:pt idx="192">
                  <c:v>0.18564356435644269</c:v>
                </c:pt>
                <c:pt idx="193">
                  <c:v>0.18529956763433164</c:v>
                </c:pt>
                <c:pt idx="194">
                  <c:v>0.18495684340321294</c:v>
                </c:pt>
                <c:pt idx="195">
                  <c:v>0.18461538461539162</c:v>
                </c:pt>
                <c:pt idx="196">
                  <c:v>0.12285012285011586</c:v>
                </c:pt>
                <c:pt idx="197">
                  <c:v>0.1226993865030605</c:v>
                </c:pt>
                <c:pt idx="198">
                  <c:v>0.12254901960785358</c:v>
                </c:pt>
                <c:pt idx="199">
                  <c:v>0.12239902080782657</c:v>
                </c:pt>
                <c:pt idx="200">
                  <c:v>0.24449877750611593</c:v>
                </c:pt>
                <c:pt idx="201">
                  <c:v>0</c:v>
                </c:pt>
                <c:pt idx="202">
                  <c:v>-6.097560975609409E-2</c:v>
                </c:pt>
                <c:pt idx="203">
                  <c:v>0.24405125076266362</c:v>
                </c:pt>
                <c:pt idx="204">
                  <c:v>0.1217285453438762</c:v>
                </c:pt>
                <c:pt idx="205">
                  <c:v>0.303951367781155</c:v>
                </c:pt>
                <c:pt idx="206">
                  <c:v>0.72727272727272041</c:v>
                </c:pt>
                <c:pt idx="207">
                  <c:v>0</c:v>
                </c:pt>
                <c:pt idx="208">
                  <c:v>0</c:v>
                </c:pt>
                <c:pt idx="209">
                  <c:v>0.30084235860409148</c:v>
                </c:pt>
                <c:pt idx="210">
                  <c:v>0.2399520095980838</c:v>
                </c:pt>
                <c:pt idx="211">
                  <c:v>0.47875523638540479</c:v>
                </c:pt>
                <c:pt idx="212">
                  <c:v>0.17867778439546333</c:v>
                </c:pt>
                <c:pt idx="213">
                  <c:v>5.945303210465086E-2</c:v>
                </c:pt>
                <c:pt idx="214">
                  <c:v>0</c:v>
                </c:pt>
                <c:pt idx="215">
                  <c:v>0.29708853238265004</c:v>
                </c:pt>
                <c:pt idx="216">
                  <c:v>0.59241706161137442</c:v>
                </c:pt>
                <c:pt idx="217">
                  <c:v>0.82449941107183589</c:v>
                </c:pt>
                <c:pt idx="218">
                  <c:v>5.8411214953284316E-2</c:v>
                </c:pt>
                <c:pt idx="219">
                  <c:v>0.11675423234091573</c:v>
                </c:pt>
                <c:pt idx="220">
                  <c:v>0.524781341107875</c:v>
                </c:pt>
                <c:pt idx="221">
                  <c:v>0.23201856148492209</c:v>
                </c:pt>
                <c:pt idx="222">
                  <c:v>0</c:v>
                </c:pt>
                <c:pt idx="223">
                  <c:v>0.52083333333332016</c:v>
                </c:pt>
                <c:pt idx="224">
                  <c:v>0.17271157167530882</c:v>
                </c:pt>
                <c:pt idx="225">
                  <c:v>5.747126436781283E-2</c:v>
                </c:pt>
                <c:pt idx="226">
                  <c:v>-5.7438253877078876E-2</c:v>
                </c:pt>
                <c:pt idx="227">
                  <c:v>0.63218390804597369</c:v>
                </c:pt>
                <c:pt idx="228">
                  <c:v>0.39977155910909024</c:v>
                </c:pt>
                <c:pt idx="229">
                  <c:v>0.22753128555175042</c:v>
                </c:pt>
                <c:pt idx="230">
                  <c:v>0.39727582292850006</c:v>
                </c:pt>
                <c:pt idx="231">
                  <c:v>0.45223289994346122</c:v>
                </c:pt>
                <c:pt idx="232">
                  <c:v>0.16882386043894845</c:v>
                </c:pt>
                <c:pt idx="233">
                  <c:v>-0.2808988764044944</c:v>
                </c:pt>
                <c:pt idx="234">
                  <c:v>0</c:v>
                </c:pt>
                <c:pt idx="235">
                  <c:v>0.45070422535211913</c:v>
                </c:pt>
                <c:pt idx="236">
                  <c:v>-0.33651149747617648</c:v>
                </c:pt>
                <c:pt idx="237">
                  <c:v>-0.16882386043893244</c:v>
                </c:pt>
                <c:pt idx="238">
                  <c:v>-0.39458850056370748</c:v>
                </c:pt>
                <c:pt idx="239">
                  <c:v>0.22637238256932976</c:v>
                </c:pt>
                <c:pt idx="240">
                  <c:v>0.39525691699605703</c:v>
                </c:pt>
                <c:pt idx="241">
                  <c:v>0.56242969628796402</c:v>
                </c:pt>
                <c:pt idx="242">
                  <c:v>0.55928411633109609</c:v>
                </c:pt>
                <c:pt idx="243">
                  <c:v>0</c:v>
                </c:pt>
                <c:pt idx="244">
                  <c:v>5.5617352614012405E-2</c:v>
                </c:pt>
                <c:pt idx="245">
                  <c:v>0.11117287381878189</c:v>
                </c:pt>
                <c:pt idx="246">
                  <c:v>0.33314825097167922</c:v>
                </c:pt>
                <c:pt idx="247">
                  <c:v>0.16602102933038815</c:v>
                </c:pt>
                <c:pt idx="248">
                  <c:v>0.16574585635359745</c:v>
                </c:pt>
                <c:pt idx="249">
                  <c:v>0</c:v>
                </c:pt>
                <c:pt idx="250">
                  <c:v>-0.22062879205736663</c:v>
                </c:pt>
                <c:pt idx="251">
                  <c:v>0.44223327805416413</c:v>
                </c:pt>
                <c:pt idx="252">
                  <c:v>0.77050082553660193</c:v>
                </c:pt>
                <c:pt idx="253">
                  <c:v>0.6007646095030007</c:v>
                </c:pt>
                <c:pt idx="254">
                  <c:v>-0.21715526601518853</c:v>
                </c:pt>
                <c:pt idx="255">
                  <c:v>-0.16322089227421729</c:v>
                </c:pt>
                <c:pt idx="256">
                  <c:v>0.10899182561307283</c:v>
                </c:pt>
                <c:pt idx="257">
                  <c:v>0.10887316276538762</c:v>
                </c:pt>
                <c:pt idx="258">
                  <c:v>0.38064165307231573</c:v>
                </c:pt>
                <c:pt idx="259">
                  <c:v>0.32502708559046278</c:v>
                </c:pt>
                <c:pt idx="260">
                  <c:v>-0.10799136069113857</c:v>
                </c:pt>
                <c:pt idx="261">
                  <c:v>-0.27027027027027029</c:v>
                </c:pt>
                <c:pt idx="262">
                  <c:v>-0.10840108401083395</c:v>
                </c:pt>
                <c:pt idx="263">
                  <c:v>0.48833423765598327</c:v>
                </c:pt>
                <c:pt idx="264">
                  <c:v>0.53995680345572361</c:v>
                </c:pt>
                <c:pt idx="265">
                  <c:v>0.64446831364125523</c:v>
                </c:pt>
                <c:pt idx="266">
                  <c:v>0.32017075773745696</c:v>
                </c:pt>
                <c:pt idx="267">
                  <c:v>0.58510638297872031</c:v>
                </c:pt>
                <c:pt idx="268">
                  <c:v>0.31729243786356126</c:v>
                </c:pt>
                <c:pt idx="269">
                  <c:v>-0.15814443858723404</c:v>
                </c:pt>
                <c:pt idx="270">
                  <c:v>5.2798310454062462E-2</c:v>
                </c:pt>
                <c:pt idx="271">
                  <c:v>0.21108179419525364</c:v>
                </c:pt>
                <c:pt idx="272">
                  <c:v>0.526592943654555</c:v>
                </c:pt>
                <c:pt idx="273">
                  <c:v>5.2383446830798486E-2</c:v>
                </c:pt>
                <c:pt idx="274">
                  <c:v>-0.3664921465968527</c:v>
                </c:pt>
                <c:pt idx="275">
                  <c:v>0.21019442984759706</c:v>
                </c:pt>
                <c:pt idx="276">
                  <c:v>0.57682223387520859</c:v>
                </c:pt>
                <c:pt idx="277">
                  <c:v>0.7820646506777893</c:v>
                </c:pt>
                <c:pt idx="278">
                  <c:v>0.67252974650800978</c:v>
                </c:pt>
                <c:pt idx="279">
                  <c:v>-0.10277492291880198</c:v>
                </c:pt>
                <c:pt idx="280">
                  <c:v>5.1440329218104069E-2</c:v>
                </c:pt>
                <c:pt idx="281">
                  <c:v>0.46272493573265078</c:v>
                </c:pt>
                <c:pt idx="282">
                  <c:v>0.51177072671443191</c:v>
                </c:pt>
                <c:pt idx="283">
                  <c:v>1.2219959266802474</c:v>
                </c:pt>
                <c:pt idx="284">
                  <c:v>0.20120724346075317</c:v>
                </c:pt>
                <c:pt idx="285">
                  <c:v>-0.8032128514056196</c:v>
                </c:pt>
                <c:pt idx="286">
                  <c:v>-0.40485829959513314</c:v>
                </c:pt>
                <c:pt idx="287">
                  <c:v>0.76219512195121952</c:v>
                </c:pt>
                <c:pt idx="288">
                  <c:v>0.20171457387795122</c:v>
                </c:pt>
                <c:pt idx="289">
                  <c:v>0.55359838953196916</c:v>
                </c:pt>
                <c:pt idx="290">
                  <c:v>0.850850850850845</c:v>
                </c:pt>
                <c:pt idx="291">
                  <c:v>0.49627791563275436</c:v>
                </c:pt>
                <c:pt idx="292">
                  <c:v>0.19753086419753368</c:v>
                </c:pt>
                <c:pt idx="293">
                  <c:v>0.29571217348447226</c:v>
                </c:pt>
                <c:pt idx="294">
                  <c:v>0.19656019656019938</c:v>
                </c:pt>
                <c:pt idx="295">
                  <c:v>-0.49043648847474253</c:v>
                </c:pt>
                <c:pt idx="296">
                  <c:v>-0.54213898472153488</c:v>
                </c:pt>
                <c:pt idx="297">
                  <c:v>-0.1486620416253773</c:v>
                </c:pt>
                <c:pt idx="298">
                  <c:v>0.14888337468983193</c:v>
                </c:pt>
                <c:pt idx="299">
                  <c:v>0.30525272547075588</c:v>
                </c:pt>
                <c:pt idx="300">
                  <c:v>0.53503675598766809</c:v>
                </c:pt>
                <c:pt idx="301">
                  <c:v>0.9105695851085307</c:v>
                </c:pt>
                <c:pt idx="302">
                  <c:v>0.64961626865090338</c:v>
                </c:pt>
                <c:pt idx="303">
                  <c:v>0.61107186747046494</c:v>
                </c:pt>
                <c:pt idx="304">
                  <c:v>0.19379751766057618</c:v>
                </c:pt>
                <c:pt idx="305">
                  <c:v>-2.5437720780216781E-2</c:v>
                </c:pt>
                <c:pt idx="306">
                  <c:v>-0.18339022270870478</c:v>
                </c:pt>
                <c:pt idx="307">
                  <c:v>0.27559074053589055</c:v>
                </c:pt>
                <c:pt idx="308">
                  <c:v>0.21391913281212427</c:v>
                </c:pt>
                <c:pt idx="309">
                  <c:v>0.59396178734157135</c:v>
                </c:pt>
                <c:pt idx="310">
                  <c:v>-6.708631296478261E-2</c:v>
                </c:pt>
                <c:pt idx="311">
                  <c:v>0.49705764726047497</c:v>
                </c:pt>
                <c:pt idx="312">
                  <c:v>0.29041121849535695</c:v>
                </c:pt>
                <c:pt idx="313">
                  <c:v>0.86682129309895906</c:v>
                </c:pt>
                <c:pt idx="314">
                  <c:v>0.60647783897194563</c:v>
                </c:pt>
                <c:pt idx="315">
                  <c:v>0.84208860317563639</c:v>
                </c:pt>
                <c:pt idx="316">
                  <c:v>1.0076996934894165</c:v>
                </c:pt>
                <c:pt idx="317">
                  <c:v>0.5251011128121934</c:v>
                </c:pt>
                <c:pt idx="318">
                  <c:v>-0.39915622556417679</c:v>
                </c:pt>
                <c:pt idx="319">
                  <c:v>-0.13830185406645137</c:v>
                </c:pt>
                <c:pt idx="320">
                  <c:v>-1.0101333284578691</c:v>
                </c:pt>
                <c:pt idx="321">
                  <c:v>-1.9152895328595883</c:v>
                </c:pt>
                <c:pt idx="322">
                  <c:v>-1.0342473814287407</c:v>
                </c:pt>
                <c:pt idx="323">
                  <c:v>0.43524173754209339</c:v>
                </c:pt>
                <c:pt idx="324">
                  <c:v>0.49729330359046303</c:v>
                </c:pt>
                <c:pt idx="325">
                  <c:v>0.24317484554155469</c:v>
                </c:pt>
                <c:pt idx="326">
                  <c:v>0.24963682777879914</c:v>
                </c:pt>
                <c:pt idx="327">
                  <c:v>0.28887638341773841</c:v>
                </c:pt>
                <c:pt idx="328">
                  <c:v>0.85898922639533959</c:v>
                </c:pt>
                <c:pt idx="329">
                  <c:v>-0.15855869221533056</c:v>
                </c:pt>
                <c:pt idx="330">
                  <c:v>0.22428500448105843</c:v>
                </c:pt>
                <c:pt idx="331">
                  <c:v>6.2548069349588523E-2</c:v>
                </c:pt>
                <c:pt idx="332">
                  <c:v>9.6310118581832763E-2</c:v>
                </c:pt>
                <c:pt idx="333">
                  <c:v>7.0775336876735276E-2</c:v>
                </c:pt>
                <c:pt idx="334">
                  <c:v>-0.17611981694633208</c:v>
                </c:pt>
                <c:pt idx="335">
                  <c:v>0.34174735701485048</c:v>
                </c:pt>
                <c:pt idx="336">
                  <c:v>2.4920738207646072E-2</c:v>
                </c:pt>
                <c:pt idx="337">
                  <c:v>0.41062835365712358</c:v>
                </c:pt>
                <c:pt idx="338">
                  <c:v>0.17368849106974002</c:v>
                </c:pt>
                <c:pt idx="339">
                  <c:v>7.7519735423772024E-2</c:v>
                </c:pt>
                <c:pt idx="340">
                  <c:v>-9.7626708467395365E-2</c:v>
                </c:pt>
                <c:pt idx="341">
                  <c:v>2.1104305737156086E-2</c:v>
                </c:pt>
                <c:pt idx="342">
                  <c:v>0.13806642784080442</c:v>
                </c:pt>
                <c:pt idx="343">
                  <c:v>5.8173623071558649E-2</c:v>
                </c:pt>
                <c:pt idx="344">
                  <c:v>0.12451988884769651</c:v>
                </c:pt>
                <c:pt idx="345">
                  <c:v>4.2064642381949027E-2</c:v>
                </c:pt>
                <c:pt idx="346">
                  <c:v>0.17184407892030948</c:v>
                </c:pt>
                <c:pt idx="347">
                  <c:v>0.47632300539741995</c:v>
                </c:pt>
                <c:pt idx="348">
                  <c:v>0.49313650254514024</c:v>
                </c:pt>
                <c:pt idx="349">
                  <c:v>0.97510720305094489</c:v>
                </c:pt>
                <c:pt idx="350">
                  <c:v>0.64394295354571052</c:v>
                </c:pt>
                <c:pt idx="351">
                  <c:v>0.4704187527233567</c:v>
                </c:pt>
                <c:pt idx="352">
                  <c:v>-0.10709670566992539</c:v>
                </c:pt>
                <c:pt idx="353">
                  <c:v>8.8604566679361604E-2</c:v>
                </c:pt>
                <c:pt idx="354">
                  <c:v>0.27575889023644906</c:v>
                </c:pt>
                <c:pt idx="355">
                  <c:v>0.1518462115694553</c:v>
                </c:pt>
                <c:pt idx="356">
                  <c:v>-0.20626826333582401</c:v>
                </c:pt>
                <c:pt idx="357">
                  <c:v>-8.4356133044197534E-2</c:v>
                </c:pt>
                <c:pt idx="358">
                  <c:v>-0.24665163771382786</c:v>
                </c:pt>
                <c:pt idx="359">
                  <c:v>0.44001914282675519</c:v>
                </c:pt>
                <c:pt idx="360">
                  <c:v>0.44029735512761958</c:v>
                </c:pt>
                <c:pt idx="361">
                  <c:v>0.75945586239309193</c:v>
                </c:pt>
                <c:pt idx="362">
                  <c:v>0.30210295040804042</c:v>
                </c:pt>
                <c:pt idx="363">
                  <c:v>-0.11734793663211865</c:v>
                </c:pt>
                <c:pt idx="364">
                  <c:v>-0.14663968844504888</c:v>
                </c:pt>
                <c:pt idx="365">
                  <c:v>-0.16297858618255137</c:v>
                </c:pt>
                <c:pt idx="366">
                  <c:v>0.5565158181437152</c:v>
                </c:pt>
                <c:pt idx="367">
                  <c:v>0.44622122676112841</c:v>
                </c:pt>
                <c:pt idx="368">
                  <c:v>-3.8892514055323908E-2</c:v>
                </c:pt>
                <c:pt idx="369">
                  <c:v>-0.47380866948819306</c:v>
                </c:pt>
                <c:pt idx="370">
                  <c:v>-0.26930644902072554</c:v>
                </c:pt>
                <c:pt idx="371">
                  <c:v>0.2957304192925998</c:v>
                </c:pt>
                <c:pt idx="372">
                  <c:v>0.81900295292686975</c:v>
                </c:pt>
                <c:pt idx="373">
                  <c:v>0.26145085843749699</c:v>
                </c:pt>
                <c:pt idx="374">
                  <c:v>-0.10396394770870773</c:v>
                </c:pt>
                <c:pt idx="375">
                  <c:v>0.17804077735871229</c:v>
                </c:pt>
                <c:pt idx="376">
                  <c:v>0.23997080855995942</c:v>
                </c:pt>
                <c:pt idx="377">
                  <c:v>3.9399753323289093E-2</c:v>
                </c:pt>
                <c:pt idx="378">
                  <c:v>0.12029315570472349</c:v>
                </c:pt>
                <c:pt idx="379">
                  <c:v>0.11630044852635846</c:v>
                </c:pt>
                <c:pt idx="380">
                  <c:v>-0.2575283259804691</c:v>
                </c:pt>
                <c:pt idx="381">
                  <c:v>-0.20424241905235108</c:v>
                </c:pt>
                <c:pt idx="382">
                  <c:v>-8.5811497882523242E-3</c:v>
                </c:pt>
                <c:pt idx="383">
                  <c:v>0.37202476732360584</c:v>
                </c:pt>
                <c:pt idx="384">
                  <c:v>0.36979086509687625</c:v>
                </c:pt>
                <c:pt idx="385">
                  <c:v>0.64400441262282737</c:v>
                </c:pt>
                <c:pt idx="386">
                  <c:v>0.32967544531577164</c:v>
                </c:pt>
                <c:pt idx="387">
                  <c:v>0.3492609840048605</c:v>
                </c:pt>
                <c:pt idx="388">
                  <c:v>0.18621269440940882</c:v>
                </c:pt>
                <c:pt idx="389">
                  <c:v>-3.9019396416084935E-2</c:v>
                </c:pt>
                <c:pt idx="390">
                  <c:v>-0.16705141657922187</c:v>
                </c:pt>
                <c:pt idx="391">
                  <c:v>7.5256882431092464E-2</c:v>
                </c:pt>
                <c:pt idx="392">
                  <c:v>-0.25122778125538825</c:v>
                </c:pt>
                <c:pt idx="393">
                  <c:v>-0.53994179410611931</c:v>
                </c:pt>
                <c:pt idx="394">
                  <c:v>-0.56701009100109612</c:v>
                </c:pt>
                <c:pt idx="395">
                  <c:v>-0.47058923734733238</c:v>
                </c:pt>
                <c:pt idx="396">
                  <c:v>0.43430449237721369</c:v>
                </c:pt>
                <c:pt idx="397">
                  <c:v>0.5951721611097347</c:v>
                </c:pt>
                <c:pt idx="398">
                  <c:v>0.20328732545876857</c:v>
                </c:pt>
                <c:pt idx="399">
                  <c:v>0.50972320254946868</c:v>
                </c:pt>
                <c:pt idx="400">
                  <c:v>0.35028699985281991</c:v>
                </c:pt>
                <c:pt idx="401">
                  <c:v>6.7047159295632423E-3</c:v>
                </c:pt>
                <c:pt idx="402">
                  <c:v>-0.14162762828194536</c:v>
                </c:pt>
                <c:pt idx="403">
                  <c:v>-0.15567565753034179</c:v>
                </c:pt>
                <c:pt idx="404">
                  <c:v>-4.496837504465289E-2</c:v>
                </c:pt>
                <c:pt idx="405">
                  <c:v>-0.21106803790814804</c:v>
                </c:pt>
                <c:pt idx="406">
                  <c:v>-0.34170964371187135</c:v>
                </c:pt>
                <c:pt idx="407">
                  <c:v>0.16531022090687714</c:v>
                </c:pt>
                <c:pt idx="408">
                  <c:v>8.2307653345486662E-2</c:v>
                </c:pt>
                <c:pt idx="409">
                  <c:v>0.43060001433928202</c:v>
                </c:pt>
                <c:pt idx="410">
                  <c:v>0.47410679791039867</c:v>
                </c:pt>
                <c:pt idx="411">
                  <c:v>0.4045790998115103</c:v>
                </c:pt>
                <c:pt idx="412">
                  <c:v>0.32843661672819985</c:v>
                </c:pt>
                <c:pt idx="413">
                  <c:v>-0.16181364047499139</c:v>
                </c:pt>
                <c:pt idx="414">
                  <c:v>9.1843010788438442E-2</c:v>
                </c:pt>
                <c:pt idx="415">
                  <c:v>0.24039958646289075</c:v>
                </c:pt>
                <c:pt idx="416">
                  <c:v>0.12467485130142988</c:v>
                </c:pt>
                <c:pt idx="417">
                  <c:v>-0.15554608673349277</c:v>
                </c:pt>
                <c:pt idx="418">
                  <c:v>3.2732139231739114E-2</c:v>
                </c:pt>
                <c:pt idx="419">
                  <c:v>0.58277278902548568</c:v>
                </c:pt>
                <c:pt idx="420">
                  <c:v>0.31461173864165559</c:v>
                </c:pt>
                <c:pt idx="421">
                  <c:v>8.1279787194730391E-2</c:v>
                </c:pt>
                <c:pt idx="422">
                  <c:v>0.29655333653266935</c:v>
                </c:pt>
                <c:pt idx="423">
                  <c:v>8.5472182689635037E-2</c:v>
                </c:pt>
                <c:pt idx="424">
                  <c:v>9.0711101486112791E-2</c:v>
                </c:pt>
                <c:pt idx="425">
                  <c:v>-6.8992263885207947E-2</c:v>
                </c:pt>
                <c:pt idx="426">
                  <c:v>0.29944522971085114</c:v>
                </c:pt>
                <c:pt idx="427">
                  <c:v>0.52949058932301896</c:v>
                </c:pt>
                <c:pt idx="428">
                  <c:v>-6.3204210372774169E-2</c:v>
                </c:pt>
                <c:pt idx="429">
                  <c:v>2.4324685907494139E-3</c:v>
                </c:pt>
                <c:pt idx="430">
                  <c:v>-5.8783227726228363E-2</c:v>
                </c:pt>
                <c:pt idx="431">
                  <c:v>0.54477454527753455</c:v>
                </c:pt>
                <c:pt idx="432">
                  <c:v>0.45346899748656488</c:v>
                </c:pt>
                <c:pt idx="433">
                  <c:v>0.2261125904149098</c:v>
                </c:pt>
                <c:pt idx="434">
                  <c:v>0.39750915633489753</c:v>
                </c:pt>
                <c:pt idx="435">
                  <c:v>0.41589169254348568</c:v>
                </c:pt>
                <c:pt idx="436">
                  <c:v>0.15938757015438354</c:v>
                </c:pt>
                <c:pt idx="437">
                  <c:v>6.7463262285242243E-3</c:v>
                </c:pt>
                <c:pt idx="438">
                  <c:v>5.5554232835720724E-2</c:v>
                </c:pt>
                <c:pt idx="439">
                  <c:v>0.11620251758901842</c:v>
                </c:pt>
                <c:pt idx="440">
                  <c:v>0.17667634557259296</c:v>
                </c:pt>
                <c:pt idx="441">
                  <c:v>-0.33493485181010341</c:v>
                </c:pt>
                <c:pt idx="442">
                  <c:v>-0.31939628151310789</c:v>
                </c:pt>
                <c:pt idx="443">
                  <c:v>0.19065966652469418</c:v>
                </c:pt>
                <c:pt idx="444">
                  <c:v>0.42270531400967032</c:v>
                </c:pt>
                <c:pt idx="445">
                  <c:v>0.56413583568059766</c:v>
                </c:pt>
                <c:pt idx="446">
                  <c:v>0.52950016128905508</c:v>
                </c:pt>
                <c:pt idx="447">
                  <c:v>0.21287585893843142</c:v>
                </c:pt>
                <c:pt idx="448">
                  <c:v>1.9914718148160711E-2</c:v>
                </c:pt>
                <c:pt idx="449">
                  <c:v>0.16709416224532941</c:v>
                </c:pt>
                <c:pt idx="450">
                  <c:v>-5.0668236082930841E-3</c:v>
                </c:pt>
                <c:pt idx="451">
                  <c:v>7.8344857693005809E-2</c:v>
                </c:pt>
                <c:pt idx="452">
                  <c:v>0.22861905522298695</c:v>
                </c:pt>
                <c:pt idx="453">
                  <c:v>-5.362430346691878E-2</c:v>
                </c:pt>
                <c:pt idx="454">
                  <c:v>-9.0976952505379793E-2</c:v>
                </c:pt>
                <c:pt idx="455">
                  <c:v>0.38797699378147754</c:v>
                </c:pt>
                <c:pt idx="456">
                  <c:v>0.27406181314953759</c:v>
                </c:pt>
                <c:pt idx="457">
                  <c:v>-0.21764510317846442</c:v>
                </c:pt>
                <c:pt idx="458">
                  <c:v>-0.66869418669972647</c:v>
                </c:pt>
                <c:pt idx="459">
                  <c:v>1.9501616684005367E-3</c:v>
                </c:pt>
                <c:pt idx="460">
                  <c:v>0.54720469277752992</c:v>
                </c:pt>
                <c:pt idx="461">
                  <c:v>0.50582435016698157</c:v>
                </c:pt>
                <c:pt idx="462">
                  <c:v>0.31532105240813707</c:v>
                </c:pt>
                <c:pt idx="463">
                  <c:v>0.13927469432665932</c:v>
                </c:pt>
                <c:pt idx="464">
                  <c:v>4.1493775933611532E-2</c:v>
                </c:pt>
                <c:pt idx="465">
                  <c:v>-6.1062721784410898E-2</c:v>
                </c:pt>
                <c:pt idx="466">
                  <c:v>9.4147846704250707E-2</c:v>
                </c:pt>
                <c:pt idx="467">
                  <c:v>0.42537834870275115</c:v>
                </c:pt>
                <c:pt idx="468">
                  <c:v>0.54743827939231915</c:v>
                </c:pt>
                <c:pt idx="469">
                  <c:v>0.70832731337495325</c:v>
                </c:pt>
                <c:pt idx="470">
                  <c:v>0.82189091540600512</c:v>
                </c:pt>
                <c:pt idx="471">
                  <c:v>0.80171051547627803</c:v>
                </c:pt>
                <c:pt idx="472">
                  <c:v>0.92906629023571508</c:v>
                </c:pt>
                <c:pt idx="473">
                  <c:v>0.48105235262939439</c:v>
                </c:pt>
                <c:pt idx="474">
                  <c:v>0.20659113636114673</c:v>
                </c:pt>
                <c:pt idx="475">
                  <c:v>0.27159708590582743</c:v>
                </c:pt>
                <c:pt idx="476">
                  <c:v>0.83081185520031942</c:v>
                </c:pt>
                <c:pt idx="477">
                  <c:v>0.49134275043475356</c:v>
                </c:pt>
                <c:pt idx="478">
                  <c:v>0.30725171614835939</c:v>
                </c:pt>
                <c:pt idx="479">
                  <c:v>0.84145737835453238</c:v>
                </c:pt>
                <c:pt idx="480">
                  <c:v>0.91339792564769562</c:v>
                </c:pt>
                <c:pt idx="481">
                  <c:v>1.3351379548562685</c:v>
                </c:pt>
                <c:pt idx="482">
                  <c:v>0.55825310256551597</c:v>
                </c:pt>
                <c:pt idx="483">
                  <c:v>1.1023523999598808</c:v>
                </c:pt>
                <c:pt idx="484">
                  <c:v>1.3736075758819779</c:v>
                </c:pt>
                <c:pt idx="485">
                  <c:v>-1.1811913833765257E-2</c:v>
                </c:pt>
                <c:pt idx="486">
                  <c:v>-3.5439927635049141E-2</c:v>
                </c:pt>
                <c:pt idx="487">
                  <c:v>0.2150784513000937</c:v>
                </c:pt>
                <c:pt idx="488">
                  <c:v>0.40564944341123144</c:v>
                </c:pt>
                <c:pt idx="489">
                  <c:v>-0.10100264418882049</c:v>
                </c:pt>
                <c:pt idx="490">
                  <c:v>-0.30700914645410721</c:v>
                </c:pt>
                <c:pt idx="491">
                  <c:v>0.79953638345400746</c:v>
                </c:pt>
                <c:pt idx="492">
                  <c:v>0.55821105057323894</c:v>
                </c:pt>
                <c:pt idx="493">
                  <c:v>0.33107299561229819</c:v>
                </c:pt>
                <c:pt idx="494">
                  <c:v>0.50590386832584144</c:v>
                </c:pt>
                <c:pt idx="495">
                  <c:v>0.25184350102023317</c:v>
                </c:pt>
                <c:pt idx="496">
                  <c:v>0.32289142364866352</c:v>
                </c:pt>
                <c:pt idx="497">
                  <c:v>0.19075150192226176</c:v>
                </c:pt>
                <c:pt idx="498">
                  <c:v>0.43671550683534566</c:v>
                </c:pt>
                <c:pt idx="499">
                  <c:v>0.2485131552376596</c:v>
                </c:pt>
                <c:pt idx="500">
                  <c:v>-3.8337952298488576E-2</c:v>
                </c:pt>
                <c:pt idx="501">
                  <c:v>-0.20151395484137424</c:v>
                </c:pt>
                <c:pt idx="502">
                  <c:v>-9.9332032789343425E-2</c:v>
                </c:pt>
                <c:pt idx="503">
                  <c:v>0.54475037979305097</c:v>
                </c:pt>
                <c:pt idx="504">
                  <c:v>0.61896717755507924</c:v>
                </c:pt>
                <c:pt idx="505">
                  <c:v>0.64641699374205563</c:v>
                </c:pt>
                <c:pt idx="506">
                  <c:v>0.38932930343352851</c:v>
                </c:pt>
                <c:pt idx="507">
                  <c:v>0.16616275657953966</c:v>
                </c:pt>
                <c:pt idx="508">
                  <c:v>3.3750545262345069E-2</c:v>
                </c:pt>
                <c:pt idx="509">
                  <c:v>0.11617728972706583</c:v>
                </c:pt>
                <c:pt idx="510">
                  <c:v>8.138869460163152E-2</c:v>
                </c:pt>
                <c:pt idx="511">
                  <c:v>0.16042135224081483</c:v>
                </c:pt>
                <c:pt idx="512">
                  <c:v>0.11512808395786869</c:v>
                </c:pt>
                <c:pt idx="513">
                  <c:v>-5.4171524152260717E-2</c:v>
                </c:pt>
                <c:pt idx="514">
                  <c:v>3.5499995245543703E-2</c:v>
                </c:pt>
                <c:pt idx="515">
                  <c:v>0.65461573802695583</c:v>
                </c:pt>
                <c:pt idx="516">
                  <c:v>0.44417022642923065</c:v>
                </c:pt>
                <c:pt idx="517">
                  <c:v>0.22470712857509495</c:v>
                </c:pt>
                <c:pt idx="518">
                  <c:v>0.31144562678433574</c:v>
                </c:pt>
                <c:pt idx="519">
                  <c:v>0.20885612306923707</c:v>
                </c:pt>
                <c:pt idx="520">
                  <c:v>0.3409391380088046</c:v>
                </c:pt>
                <c:pt idx="521">
                  <c:v>0.15097919463296036</c:v>
                </c:pt>
                <c:pt idx="522">
                  <c:v>0.28726381218889985</c:v>
                </c:pt>
                <c:pt idx="523">
                  <c:v>0.25433982764155749</c:v>
                </c:pt>
                <c:pt idx="525" formatCode="General">
                  <c:v>0</c:v>
                </c:pt>
                <c:pt idx="526">
                  <c:v>-2.0979754536884405E-2</c:v>
                </c:pt>
                <c:pt idx="527">
                  <c:v>0.36969147117456846</c:v>
                </c:pt>
                <c:pt idx="528">
                  <c:v>0.47132684810547376</c:v>
                </c:pt>
                <c:pt idx="529">
                  <c:v>1.0490077573940044</c:v>
                </c:pt>
                <c:pt idx="530">
                  <c:v>0.85005738720158175</c:v>
                </c:pt>
                <c:pt idx="531">
                  <c:v>0.63149360398775112</c:v>
                </c:pt>
                <c:pt idx="532">
                  <c:v>-0.34942394285083156</c:v>
                </c:pt>
                <c:pt idx="533">
                  <c:v>-1.0181103871212575E-2</c:v>
                </c:pt>
                <c:pt idx="534">
                  <c:v>0.31804215406177921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9-4086-AEDE-CFD610DB2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075647"/>
        <c:axId val="1503879152"/>
      </c:lineChart>
      <c:dateAx>
        <c:axId val="1740075647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  <a:r>
                  <a:rPr lang="en-US" baseline="0"/>
                  <a:t> and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79152"/>
        <c:crosses val="max"/>
        <c:auto val="1"/>
        <c:lblOffset val="100"/>
        <c:baseTimeUnit val="months"/>
      </c:dateAx>
      <c:valAx>
        <c:axId val="150387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Change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07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0</xdr:row>
      <xdr:rowOff>41910</xdr:rowOff>
    </xdr:from>
    <xdr:to>
      <xdr:col>10</xdr:col>
      <xdr:colOff>220980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CEC86-120A-5E47-F66F-005347B3D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358140</xdr:colOff>
      <xdr:row>0</xdr:row>
      <xdr:rowOff>57150</xdr:rowOff>
    </xdr:from>
    <xdr:to>
      <xdr:col>21</xdr:col>
      <xdr:colOff>495300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A915A-33DC-CC60-E010-71590FAAF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77631-9F64-45E1-B661-3387EB85891C}" name="Table1" displayName="Table1" ref="A1:M46" totalsRowShown="0" headerRowDxfId="14" dataDxfId="13">
  <autoFilter ref="A1:M46" xr:uid="{1EF77631-9F64-45E1-B661-3387EB85891C}"/>
  <tableColumns count="13">
    <tableColumn id="1" xr3:uid="{DF80780F-33C3-4C26-974B-4423C55E9F03}" name="Year" dataDxfId="12"/>
    <tableColumn id="2" xr3:uid="{746FE1C9-4FB1-4B08-A0EF-2E289166DD38}" name="Jan." dataDxfId="11"/>
    <tableColumn id="3" xr3:uid="{ACA2F60A-FAE5-4AD3-BA1E-96E5B9653DBB}" name="Feb." dataDxfId="10"/>
    <tableColumn id="4" xr3:uid="{AB7A505A-E4D9-48DA-95F4-BD2B332702C3}" name="Mar." dataDxfId="9"/>
    <tableColumn id="5" xr3:uid="{33DE2D3D-CC74-4EB0-AAC4-625164068BFF}" name="Apr." dataDxfId="8"/>
    <tableColumn id="6" xr3:uid="{77544F23-AED7-4D8D-BF17-711729BD173F}" name="May" dataDxfId="7"/>
    <tableColumn id="7" xr3:uid="{36FADD60-5274-475C-AC33-94F4BABFC0C0}" name="Jun." dataDxfId="6"/>
    <tableColumn id="8" xr3:uid="{80178615-27FA-4AA6-9715-C375502D99D5}" name="Jul." dataDxfId="5"/>
    <tableColumn id="9" xr3:uid="{A839FFAF-4661-48D9-9208-58A19A11605A}" name="Aug." dataDxfId="4"/>
    <tableColumn id="10" xr3:uid="{00E49256-90A2-4A43-BC97-1D31CA3E16A5}" name="Sep." dataDxfId="3"/>
    <tableColumn id="11" xr3:uid="{3289A074-92B7-4C63-B8CD-CCD200405DEE}" name="Oct." dataDxfId="2"/>
    <tableColumn id="12" xr3:uid="{D3C79942-DEFA-4EE4-90FB-18E5A65DA405}" name="Nov." dataDxfId="1"/>
    <tableColumn id="13" xr3:uid="{52EFD9EC-4581-4360-A15D-031520E00A63}" name="Dec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workbookViewId="0">
      <selection activeCell="C16" sqref="C16"/>
    </sheetView>
  </sheetViews>
  <sheetFormatPr defaultRowHeight="14.45"/>
  <cols>
    <col min="2" max="2" width="70" customWidth="1"/>
    <col min="3" max="14" width="15" customWidth="1"/>
  </cols>
  <sheetData>
    <row r="1" spans="1:14" ht="28.9">
      <c r="A1" s="1" t="s">
        <v>0</v>
      </c>
      <c r="B1" s="8" t="s">
        <v>1</v>
      </c>
    </row>
    <row r="2" spans="1:14" ht="15.75" customHeight="1">
      <c r="A2" s="1" t="s">
        <v>0</v>
      </c>
      <c r="B2" s="8" t="s">
        <v>2</v>
      </c>
    </row>
    <row r="3" spans="1:14">
      <c r="A3" s="1" t="s">
        <v>0</v>
      </c>
      <c r="B3" s="1" t="s">
        <v>0</v>
      </c>
    </row>
    <row r="4" spans="1:14" ht="28.9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</row>
    <row r="5" spans="1:14">
      <c r="A5" s="1" t="s">
        <v>0</v>
      </c>
      <c r="B5" s="1" t="s">
        <v>0</v>
      </c>
    </row>
    <row r="6" spans="1:14">
      <c r="A6" s="2">
        <v>0</v>
      </c>
      <c r="B6" s="5" t="s">
        <v>17</v>
      </c>
      <c r="C6" s="6">
        <v>9.8000000000000007</v>
      </c>
      <c r="D6" s="6">
        <v>9.8000000000000007</v>
      </c>
      <c r="E6" s="6">
        <v>9.8000000000000007</v>
      </c>
      <c r="F6" s="6">
        <v>9.8000000000000007</v>
      </c>
      <c r="G6" s="6">
        <v>9.6999999999999993</v>
      </c>
      <c r="H6" s="6">
        <v>9.8000000000000007</v>
      </c>
      <c r="I6" s="6">
        <v>9.9</v>
      </c>
      <c r="J6" s="6">
        <v>9.9</v>
      </c>
      <c r="K6" s="6">
        <v>10</v>
      </c>
      <c r="L6" s="6">
        <v>10</v>
      </c>
      <c r="M6" s="6">
        <v>10.1</v>
      </c>
      <c r="N6" s="6">
        <v>10</v>
      </c>
    </row>
    <row r="7" spans="1:14">
      <c r="A7" s="2">
        <v>0</v>
      </c>
      <c r="B7" s="5" t="s">
        <v>18</v>
      </c>
      <c r="C7" s="6">
        <v>10</v>
      </c>
      <c r="D7" s="6">
        <v>9.9</v>
      </c>
      <c r="E7" s="6">
        <v>9.9</v>
      </c>
      <c r="F7" s="6">
        <v>9.8000000000000007</v>
      </c>
      <c r="G7" s="6">
        <v>9.9</v>
      </c>
      <c r="H7" s="6">
        <v>9.9</v>
      </c>
      <c r="I7" s="6">
        <v>10</v>
      </c>
      <c r="J7" s="6">
        <v>10.199999999999999</v>
      </c>
      <c r="K7" s="6">
        <v>10.199999999999999</v>
      </c>
      <c r="L7" s="6">
        <v>10.1</v>
      </c>
      <c r="M7" s="6">
        <v>10.199999999999999</v>
      </c>
      <c r="N7" s="6">
        <v>10.1</v>
      </c>
    </row>
    <row r="8" spans="1:14">
      <c r="A8" s="2">
        <v>0</v>
      </c>
      <c r="B8" s="5" t="s">
        <v>19</v>
      </c>
      <c r="C8" s="6">
        <v>10.1</v>
      </c>
      <c r="D8" s="6">
        <v>10</v>
      </c>
      <c r="E8" s="6">
        <v>9.9</v>
      </c>
      <c r="F8" s="6">
        <v>10</v>
      </c>
      <c r="G8" s="6">
        <v>10.1</v>
      </c>
      <c r="H8" s="6">
        <v>10.1</v>
      </c>
      <c r="I8" s="6">
        <v>10.1</v>
      </c>
      <c r="J8" s="6">
        <v>10.1</v>
      </c>
      <c r="K8" s="6">
        <v>10.1</v>
      </c>
      <c r="L8" s="6">
        <v>10.199999999999999</v>
      </c>
      <c r="M8" s="6">
        <v>10.3</v>
      </c>
      <c r="N8" s="6">
        <v>10.3</v>
      </c>
    </row>
    <row r="9" spans="1:14">
      <c r="A9" s="2">
        <v>0</v>
      </c>
      <c r="B9" s="5" t="s">
        <v>20</v>
      </c>
      <c r="C9" s="6">
        <v>10.4</v>
      </c>
      <c r="D9" s="6">
        <v>10.4</v>
      </c>
      <c r="E9" s="6">
        <v>10.5</v>
      </c>
      <c r="F9" s="6">
        <v>10.6</v>
      </c>
      <c r="G9" s="6">
        <v>10.7</v>
      </c>
      <c r="H9" s="6">
        <v>10.8</v>
      </c>
      <c r="I9" s="6">
        <v>10.8</v>
      </c>
      <c r="J9" s="6">
        <v>10.9</v>
      </c>
      <c r="K9" s="6">
        <v>11.1</v>
      </c>
      <c r="L9" s="6">
        <v>11.3</v>
      </c>
      <c r="M9" s="6">
        <v>11.5</v>
      </c>
      <c r="N9" s="6">
        <v>11.6</v>
      </c>
    </row>
    <row r="10" spans="1:14">
      <c r="A10" s="2">
        <v>0</v>
      </c>
      <c r="B10" s="5" t="s">
        <v>21</v>
      </c>
      <c r="C10" s="6">
        <v>11.7</v>
      </c>
      <c r="D10" s="6">
        <v>12</v>
      </c>
      <c r="E10" s="6">
        <v>12</v>
      </c>
      <c r="F10" s="6">
        <v>12.6</v>
      </c>
      <c r="G10" s="6">
        <v>12.8</v>
      </c>
      <c r="H10" s="6">
        <v>13</v>
      </c>
      <c r="I10" s="6">
        <v>12.8</v>
      </c>
      <c r="J10" s="6">
        <v>13</v>
      </c>
      <c r="K10" s="6">
        <v>13.3</v>
      </c>
      <c r="L10" s="6">
        <v>13.5</v>
      </c>
      <c r="M10" s="6">
        <v>13.5</v>
      </c>
      <c r="N10" s="6">
        <v>13.7</v>
      </c>
    </row>
    <row r="11" spans="1:14">
      <c r="A11" s="2">
        <v>0</v>
      </c>
      <c r="B11" s="5" t="s">
        <v>22</v>
      </c>
      <c r="C11" s="6">
        <v>14</v>
      </c>
      <c r="D11" s="6">
        <v>14.1</v>
      </c>
      <c r="E11" s="6">
        <v>14</v>
      </c>
      <c r="F11" s="6">
        <v>14.2</v>
      </c>
      <c r="G11" s="6">
        <v>14.5</v>
      </c>
      <c r="H11" s="6">
        <v>14.7</v>
      </c>
      <c r="I11" s="6">
        <v>15.1</v>
      </c>
      <c r="J11" s="6">
        <v>15.4</v>
      </c>
      <c r="K11" s="6">
        <v>15.7</v>
      </c>
      <c r="L11" s="6">
        <v>16</v>
      </c>
      <c r="M11" s="6">
        <v>16.3</v>
      </c>
      <c r="N11" s="6">
        <v>16.5</v>
      </c>
    </row>
    <row r="12" spans="1:14">
      <c r="A12" s="2">
        <v>0</v>
      </c>
      <c r="B12" s="5" t="s">
        <v>23</v>
      </c>
      <c r="C12" s="6">
        <v>16.5</v>
      </c>
      <c r="D12" s="6">
        <v>16.2</v>
      </c>
      <c r="E12" s="6">
        <v>16.399999999999999</v>
      </c>
      <c r="F12" s="6">
        <v>16.7</v>
      </c>
      <c r="G12" s="6">
        <v>16.899999999999999</v>
      </c>
      <c r="H12" s="6">
        <v>16.899999999999999</v>
      </c>
      <c r="I12" s="6">
        <v>17.399999999999999</v>
      </c>
      <c r="J12" s="6">
        <v>17.7</v>
      </c>
      <c r="K12" s="6">
        <v>17.8</v>
      </c>
      <c r="L12" s="6">
        <v>18.100000000000001</v>
      </c>
      <c r="M12" s="6">
        <v>18.5</v>
      </c>
      <c r="N12" s="6">
        <v>18.899999999999999</v>
      </c>
    </row>
    <row r="13" spans="1:14">
      <c r="A13" s="2">
        <v>0</v>
      </c>
      <c r="B13" s="5" t="s">
        <v>24</v>
      </c>
      <c r="C13" s="6">
        <v>19.3</v>
      </c>
      <c r="D13" s="6">
        <v>19.5</v>
      </c>
      <c r="E13" s="6">
        <v>19.7</v>
      </c>
      <c r="F13" s="6">
        <v>20.3</v>
      </c>
      <c r="G13" s="6">
        <v>20.6</v>
      </c>
      <c r="H13" s="6">
        <v>20.9</v>
      </c>
      <c r="I13" s="6">
        <v>20.8</v>
      </c>
      <c r="J13" s="6">
        <v>20.3</v>
      </c>
      <c r="K13" s="6">
        <v>20</v>
      </c>
      <c r="L13" s="6">
        <v>19.899999999999999</v>
      </c>
      <c r="M13" s="6">
        <v>19.8</v>
      </c>
      <c r="N13" s="6">
        <v>19.399999999999999</v>
      </c>
    </row>
    <row r="14" spans="1:14">
      <c r="A14" s="2">
        <v>0</v>
      </c>
      <c r="B14" s="5" t="s">
        <v>25</v>
      </c>
      <c r="C14" s="6">
        <v>19</v>
      </c>
      <c r="D14" s="6">
        <v>18.399999999999999</v>
      </c>
      <c r="E14" s="6">
        <v>18.3</v>
      </c>
      <c r="F14" s="6">
        <v>18.100000000000001</v>
      </c>
      <c r="G14" s="6">
        <v>17.7</v>
      </c>
      <c r="H14" s="6">
        <v>17.600000000000001</v>
      </c>
      <c r="I14" s="6">
        <v>17.7</v>
      </c>
      <c r="J14" s="6">
        <v>17.7</v>
      </c>
      <c r="K14" s="6">
        <v>17.5</v>
      </c>
      <c r="L14" s="6">
        <v>17.5</v>
      </c>
      <c r="M14" s="6">
        <v>17.399999999999999</v>
      </c>
      <c r="N14" s="6">
        <v>17.3</v>
      </c>
    </row>
    <row r="15" spans="1:14">
      <c r="A15" s="2">
        <v>0</v>
      </c>
      <c r="B15" s="5" t="s">
        <v>26</v>
      </c>
      <c r="C15" s="6">
        <v>16.899999999999999</v>
      </c>
      <c r="D15" s="6">
        <v>16.899999999999999</v>
      </c>
      <c r="E15" s="6">
        <v>16.7</v>
      </c>
      <c r="F15" s="6">
        <v>16.7</v>
      </c>
      <c r="G15" s="6">
        <v>16.7</v>
      </c>
      <c r="H15" s="6">
        <v>16.7</v>
      </c>
      <c r="I15" s="6">
        <v>16.8</v>
      </c>
      <c r="J15" s="6">
        <v>16.600000000000001</v>
      </c>
      <c r="K15" s="6">
        <v>16.600000000000001</v>
      </c>
      <c r="L15" s="6">
        <v>16.7</v>
      </c>
      <c r="M15" s="6">
        <v>16.8</v>
      </c>
      <c r="N15" s="6">
        <v>16.899999999999999</v>
      </c>
    </row>
    <row r="16" spans="1:14">
      <c r="A16" s="2">
        <v>0</v>
      </c>
      <c r="B16" s="5" t="s">
        <v>27</v>
      </c>
      <c r="C16" s="6">
        <v>16.8</v>
      </c>
      <c r="D16" s="6">
        <v>16.8</v>
      </c>
      <c r="E16" s="6">
        <v>16.8</v>
      </c>
      <c r="F16" s="6">
        <v>16.899999999999999</v>
      </c>
      <c r="G16" s="6">
        <v>16.899999999999999</v>
      </c>
      <c r="H16" s="6">
        <v>17</v>
      </c>
      <c r="I16" s="6">
        <v>17.2</v>
      </c>
      <c r="J16" s="6">
        <v>17.100000000000001</v>
      </c>
      <c r="K16" s="6">
        <v>17.2</v>
      </c>
      <c r="L16" s="6">
        <v>17.3</v>
      </c>
      <c r="M16" s="6">
        <v>17.3</v>
      </c>
      <c r="N16" s="6">
        <v>17.3</v>
      </c>
    </row>
    <row r="17" spans="1:14">
      <c r="A17" s="2">
        <v>0</v>
      </c>
      <c r="B17" s="5" t="s">
        <v>28</v>
      </c>
      <c r="C17" s="6">
        <v>17.3</v>
      </c>
      <c r="D17" s="6">
        <v>17.2</v>
      </c>
      <c r="E17" s="6">
        <v>17.100000000000001</v>
      </c>
      <c r="F17" s="6">
        <v>17</v>
      </c>
      <c r="G17" s="6">
        <v>17</v>
      </c>
      <c r="H17" s="6">
        <v>17</v>
      </c>
      <c r="I17" s="6">
        <v>17.100000000000001</v>
      </c>
      <c r="J17" s="6">
        <v>17</v>
      </c>
      <c r="K17" s="6">
        <v>17.100000000000001</v>
      </c>
      <c r="L17" s="6">
        <v>17.2</v>
      </c>
      <c r="M17" s="6">
        <v>17.2</v>
      </c>
      <c r="N17" s="6">
        <v>17.3</v>
      </c>
    </row>
    <row r="18" spans="1:14">
      <c r="A18" s="2">
        <v>0</v>
      </c>
      <c r="B18" s="5" t="s">
        <v>29</v>
      </c>
      <c r="C18" s="6">
        <v>17.3</v>
      </c>
      <c r="D18" s="6">
        <v>17.2</v>
      </c>
      <c r="E18" s="6">
        <v>17.3</v>
      </c>
      <c r="F18" s="6">
        <v>17.2</v>
      </c>
      <c r="G18" s="6">
        <v>17.3</v>
      </c>
      <c r="H18" s="6">
        <v>17.5</v>
      </c>
      <c r="I18" s="6">
        <v>17.7</v>
      </c>
      <c r="J18" s="6">
        <v>17.7</v>
      </c>
      <c r="K18" s="6">
        <v>17.7</v>
      </c>
      <c r="L18" s="6">
        <v>17.7</v>
      </c>
      <c r="M18" s="6">
        <v>18</v>
      </c>
      <c r="N18" s="6">
        <v>17.899999999999999</v>
      </c>
    </row>
    <row r="19" spans="1:14">
      <c r="A19" s="2">
        <v>0</v>
      </c>
      <c r="B19" s="5" t="s">
        <v>30</v>
      </c>
      <c r="C19" s="6">
        <v>17.899999999999999</v>
      </c>
      <c r="D19" s="6">
        <v>17.899999999999999</v>
      </c>
      <c r="E19" s="6">
        <v>17.8</v>
      </c>
      <c r="F19" s="6">
        <v>17.899999999999999</v>
      </c>
      <c r="G19" s="6">
        <v>17.8</v>
      </c>
      <c r="H19" s="6">
        <v>17.7</v>
      </c>
      <c r="I19" s="6">
        <v>17.5</v>
      </c>
      <c r="J19" s="6">
        <v>17.399999999999999</v>
      </c>
      <c r="K19" s="6">
        <v>17.5</v>
      </c>
      <c r="L19" s="6">
        <v>17.600000000000001</v>
      </c>
      <c r="M19" s="6">
        <v>17.7</v>
      </c>
      <c r="N19" s="6">
        <v>17.7</v>
      </c>
    </row>
    <row r="20" spans="1:14">
      <c r="A20" s="2">
        <v>0</v>
      </c>
      <c r="B20" s="5" t="s">
        <v>31</v>
      </c>
      <c r="C20" s="6">
        <v>17.5</v>
      </c>
      <c r="D20" s="6">
        <v>17.399999999999999</v>
      </c>
      <c r="E20" s="6">
        <v>17.3</v>
      </c>
      <c r="F20" s="6">
        <v>17.3</v>
      </c>
      <c r="G20" s="6">
        <v>17.399999999999999</v>
      </c>
      <c r="H20" s="6">
        <v>17.600000000000001</v>
      </c>
      <c r="I20" s="6">
        <v>17.3</v>
      </c>
      <c r="J20" s="6">
        <v>17.2</v>
      </c>
      <c r="K20" s="6">
        <v>17.3</v>
      </c>
      <c r="L20" s="6">
        <v>17.399999999999999</v>
      </c>
      <c r="M20" s="6">
        <v>17.3</v>
      </c>
      <c r="N20" s="6">
        <v>17.3</v>
      </c>
    </row>
    <row r="21" spans="1:14">
      <c r="A21" s="2">
        <v>0</v>
      </c>
      <c r="B21" s="5" t="s">
        <v>32</v>
      </c>
      <c r="C21" s="6">
        <v>17.3</v>
      </c>
      <c r="D21" s="6">
        <v>17.100000000000001</v>
      </c>
      <c r="E21" s="6">
        <v>17.100000000000001</v>
      </c>
      <c r="F21" s="6">
        <v>17.100000000000001</v>
      </c>
      <c r="G21" s="6">
        <v>17.2</v>
      </c>
      <c r="H21" s="6">
        <v>17.100000000000001</v>
      </c>
      <c r="I21" s="6">
        <v>17.100000000000001</v>
      </c>
      <c r="J21" s="6">
        <v>17.100000000000001</v>
      </c>
      <c r="K21" s="6">
        <v>17.3</v>
      </c>
      <c r="L21" s="6">
        <v>17.2</v>
      </c>
      <c r="M21" s="6">
        <v>17.2</v>
      </c>
      <c r="N21" s="6">
        <v>17.100000000000001</v>
      </c>
    </row>
    <row r="22" spans="1:14">
      <c r="A22" s="2">
        <v>0</v>
      </c>
      <c r="B22" s="5" t="s">
        <v>33</v>
      </c>
      <c r="C22" s="6">
        <v>17.100000000000001</v>
      </c>
      <c r="D22" s="6">
        <v>17.100000000000001</v>
      </c>
      <c r="E22" s="6">
        <v>17</v>
      </c>
      <c r="F22" s="6">
        <v>16.899999999999999</v>
      </c>
      <c r="G22" s="6">
        <v>17</v>
      </c>
      <c r="H22" s="6">
        <v>17.100000000000001</v>
      </c>
      <c r="I22" s="6">
        <v>17.3</v>
      </c>
      <c r="J22" s="6">
        <v>17.3</v>
      </c>
      <c r="K22" s="6">
        <v>17.3</v>
      </c>
      <c r="L22" s="6">
        <v>17.3</v>
      </c>
      <c r="M22" s="6">
        <v>17.3</v>
      </c>
      <c r="N22" s="6">
        <v>17.2</v>
      </c>
    </row>
    <row r="23" spans="1:14">
      <c r="A23" s="2">
        <v>0</v>
      </c>
      <c r="B23" s="5" t="s">
        <v>34</v>
      </c>
      <c r="C23" s="6">
        <v>17.100000000000001</v>
      </c>
      <c r="D23" s="6">
        <v>17</v>
      </c>
      <c r="E23" s="6">
        <v>16.899999999999999</v>
      </c>
      <c r="F23" s="6">
        <v>17</v>
      </c>
      <c r="G23" s="6">
        <v>16.899999999999999</v>
      </c>
      <c r="H23" s="6">
        <v>16.8</v>
      </c>
      <c r="I23" s="6">
        <v>16.600000000000001</v>
      </c>
      <c r="J23" s="6">
        <v>16.5</v>
      </c>
      <c r="K23" s="6">
        <v>16.600000000000001</v>
      </c>
      <c r="L23" s="6">
        <v>16.5</v>
      </c>
      <c r="M23" s="6">
        <v>16.399999999999999</v>
      </c>
      <c r="N23" s="6">
        <v>16.100000000000001</v>
      </c>
    </row>
    <row r="24" spans="1:14">
      <c r="A24" s="2">
        <v>0</v>
      </c>
      <c r="B24" s="5" t="s">
        <v>35</v>
      </c>
      <c r="C24" s="6">
        <v>15.9</v>
      </c>
      <c r="D24" s="6">
        <v>15.7</v>
      </c>
      <c r="E24" s="6">
        <v>15.6</v>
      </c>
      <c r="F24" s="6">
        <v>15.5</v>
      </c>
      <c r="G24" s="6">
        <v>15.3</v>
      </c>
      <c r="H24" s="6">
        <v>15.1</v>
      </c>
      <c r="I24" s="6">
        <v>15.1</v>
      </c>
      <c r="J24" s="6">
        <v>15.1</v>
      </c>
      <c r="K24" s="6">
        <v>15</v>
      </c>
      <c r="L24" s="6">
        <v>14.9</v>
      </c>
      <c r="M24" s="6">
        <v>14.7</v>
      </c>
      <c r="N24" s="6">
        <v>14.6</v>
      </c>
    </row>
    <row r="25" spans="1:14">
      <c r="A25" s="2">
        <v>0</v>
      </c>
      <c r="B25" s="5" t="s">
        <v>36</v>
      </c>
      <c r="C25" s="6">
        <v>14.3</v>
      </c>
      <c r="D25" s="6">
        <v>14.1</v>
      </c>
      <c r="E25" s="6">
        <v>14</v>
      </c>
      <c r="F25" s="6">
        <v>13.9</v>
      </c>
      <c r="G25" s="6">
        <v>13.7</v>
      </c>
      <c r="H25" s="6">
        <v>13.6</v>
      </c>
      <c r="I25" s="6">
        <v>13.6</v>
      </c>
      <c r="J25" s="6">
        <v>13.5</v>
      </c>
      <c r="K25" s="6">
        <v>13.4</v>
      </c>
      <c r="L25" s="6">
        <v>13.3</v>
      </c>
      <c r="M25" s="6">
        <v>13.2</v>
      </c>
      <c r="N25" s="6">
        <v>13.1</v>
      </c>
    </row>
    <row r="26" spans="1:14">
      <c r="A26" s="2">
        <v>0</v>
      </c>
      <c r="B26" s="5" t="s">
        <v>37</v>
      </c>
      <c r="C26" s="6">
        <v>12.9</v>
      </c>
      <c r="D26" s="6">
        <v>12.7</v>
      </c>
      <c r="E26" s="6">
        <v>12.6</v>
      </c>
      <c r="F26" s="6">
        <v>12.6</v>
      </c>
      <c r="G26" s="6">
        <v>12.6</v>
      </c>
      <c r="H26" s="6">
        <v>12.7</v>
      </c>
      <c r="I26" s="6">
        <v>13.1</v>
      </c>
      <c r="J26" s="6">
        <v>13.2</v>
      </c>
      <c r="K26" s="6">
        <v>13.2</v>
      </c>
      <c r="L26" s="6">
        <v>13.2</v>
      </c>
      <c r="M26" s="6">
        <v>13.2</v>
      </c>
      <c r="N26" s="6">
        <v>13.2</v>
      </c>
    </row>
    <row r="27" spans="1:14">
      <c r="A27" s="2">
        <v>0</v>
      </c>
      <c r="B27" s="5" t="s">
        <v>38</v>
      </c>
      <c r="C27" s="6">
        <v>13.2</v>
      </c>
      <c r="D27" s="6">
        <v>13.3</v>
      </c>
      <c r="E27" s="6">
        <v>13.3</v>
      </c>
      <c r="F27" s="6">
        <v>13.3</v>
      </c>
      <c r="G27" s="6">
        <v>13.3</v>
      </c>
      <c r="H27" s="6">
        <v>13.4</v>
      </c>
      <c r="I27" s="6">
        <v>13.4</v>
      </c>
      <c r="J27" s="6">
        <v>13.4</v>
      </c>
      <c r="K27" s="6">
        <v>13.6</v>
      </c>
      <c r="L27" s="6">
        <v>13.5</v>
      </c>
      <c r="M27" s="6">
        <v>13.5</v>
      </c>
      <c r="N27" s="6">
        <v>13.4</v>
      </c>
    </row>
    <row r="28" spans="1:14">
      <c r="A28" s="2">
        <v>0</v>
      </c>
      <c r="B28" s="5" t="s">
        <v>39</v>
      </c>
      <c r="C28" s="6">
        <v>13.6</v>
      </c>
      <c r="D28" s="6">
        <v>13.7</v>
      </c>
      <c r="E28" s="6">
        <v>13.7</v>
      </c>
      <c r="F28" s="6">
        <v>13.8</v>
      </c>
      <c r="G28" s="6">
        <v>13.8</v>
      </c>
      <c r="H28" s="6">
        <v>13.7</v>
      </c>
      <c r="I28" s="6">
        <v>13.7</v>
      </c>
      <c r="J28" s="6">
        <v>13.7</v>
      </c>
      <c r="K28" s="6">
        <v>13.7</v>
      </c>
      <c r="L28" s="6">
        <v>13.7</v>
      </c>
      <c r="M28" s="6">
        <v>13.8</v>
      </c>
      <c r="N28" s="6">
        <v>13.8</v>
      </c>
    </row>
    <row r="29" spans="1:14">
      <c r="A29" s="2">
        <v>0</v>
      </c>
      <c r="B29" s="5" t="s">
        <v>40</v>
      </c>
      <c r="C29" s="6">
        <v>13.8</v>
      </c>
      <c r="D29" s="6">
        <v>13.8</v>
      </c>
      <c r="E29" s="6">
        <v>13.7</v>
      </c>
      <c r="F29" s="6">
        <v>13.7</v>
      </c>
      <c r="G29" s="6">
        <v>13.7</v>
      </c>
      <c r="H29" s="6">
        <v>13.8</v>
      </c>
      <c r="I29" s="6">
        <v>13.9</v>
      </c>
      <c r="J29" s="6">
        <v>14</v>
      </c>
      <c r="K29" s="6">
        <v>14</v>
      </c>
      <c r="L29" s="6">
        <v>14</v>
      </c>
      <c r="M29" s="6">
        <v>14</v>
      </c>
      <c r="N29" s="6">
        <v>14</v>
      </c>
    </row>
    <row r="30" spans="1:14">
      <c r="A30" s="2">
        <v>0</v>
      </c>
      <c r="B30" s="5" t="s">
        <v>41</v>
      </c>
      <c r="C30" s="6">
        <v>14.1</v>
      </c>
      <c r="D30" s="6">
        <v>14.1</v>
      </c>
      <c r="E30" s="6">
        <v>14.2</v>
      </c>
      <c r="F30" s="6">
        <v>14.3</v>
      </c>
      <c r="G30" s="6">
        <v>14.4</v>
      </c>
      <c r="H30" s="6">
        <v>14.4</v>
      </c>
      <c r="I30" s="6">
        <v>14.5</v>
      </c>
      <c r="J30" s="6">
        <v>14.5</v>
      </c>
      <c r="K30" s="6">
        <v>14.6</v>
      </c>
      <c r="L30" s="6">
        <v>14.6</v>
      </c>
      <c r="M30" s="6">
        <v>14.5</v>
      </c>
      <c r="N30" s="6">
        <v>14.4</v>
      </c>
    </row>
    <row r="31" spans="1:14">
      <c r="A31" s="2">
        <v>0</v>
      </c>
      <c r="B31" s="5" t="s">
        <v>42</v>
      </c>
      <c r="C31" s="6">
        <v>14.2</v>
      </c>
      <c r="D31" s="6">
        <v>14.1</v>
      </c>
      <c r="E31" s="6">
        <v>14.1</v>
      </c>
      <c r="F31" s="6">
        <v>14.2</v>
      </c>
      <c r="G31" s="6">
        <v>14.1</v>
      </c>
      <c r="H31" s="6">
        <v>14.1</v>
      </c>
      <c r="I31" s="6">
        <v>14.1</v>
      </c>
      <c r="J31" s="6">
        <v>14.1</v>
      </c>
      <c r="K31" s="6">
        <v>14.1</v>
      </c>
      <c r="L31" s="6">
        <v>14</v>
      </c>
      <c r="M31" s="6">
        <v>14</v>
      </c>
      <c r="N31" s="6">
        <v>14</v>
      </c>
    </row>
    <row r="32" spans="1:14">
      <c r="A32" s="2">
        <v>0</v>
      </c>
      <c r="B32" s="5" t="s">
        <v>43</v>
      </c>
      <c r="C32" s="6">
        <v>14</v>
      </c>
      <c r="D32" s="6">
        <v>13.9</v>
      </c>
      <c r="E32" s="6">
        <v>13.9</v>
      </c>
      <c r="F32" s="6">
        <v>13.8</v>
      </c>
      <c r="G32" s="6">
        <v>13.8</v>
      </c>
      <c r="H32" s="6">
        <v>13.8</v>
      </c>
      <c r="I32" s="6">
        <v>13.8</v>
      </c>
      <c r="J32" s="6">
        <v>13.8</v>
      </c>
      <c r="K32" s="6">
        <v>14.1</v>
      </c>
      <c r="L32" s="6">
        <v>14</v>
      </c>
      <c r="M32" s="6">
        <v>14</v>
      </c>
      <c r="N32" s="6">
        <v>14</v>
      </c>
    </row>
    <row r="33" spans="1:14">
      <c r="A33" s="2">
        <v>0</v>
      </c>
      <c r="B33" s="5" t="s">
        <v>44</v>
      </c>
      <c r="C33" s="6">
        <v>13.9</v>
      </c>
      <c r="D33" s="6">
        <v>14</v>
      </c>
      <c r="E33" s="6">
        <v>14</v>
      </c>
      <c r="F33" s="6">
        <v>14</v>
      </c>
      <c r="G33" s="6">
        <v>14</v>
      </c>
      <c r="H33" s="6">
        <v>14.1</v>
      </c>
      <c r="I33" s="6">
        <v>14</v>
      </c>
      <c r="J33" s="6">
        <v>14</v>
      </c>
      <c r="K33" s="6">
        <v>14</v>
      </c>
      <c r="L33" s="6">
        <v>14</v>
      </c>
      <c r="M33" s="6">
        <v>14</v>
      </c>
      <c r="N33" s="6">
        <v>14.1</v>
      </c>
    </row>
    <row r="34" spans="1:14">
      <c r="A34" s="2">
        <v>0</v>
      </c>
      <c r="B34" s="5" t="s">
        <v>45</v>
      </c>
      <c r="C34" s="6">
        <v>14.1</v>
      </c>
      <c r="D34" s="6">
        <v>14.1</v>
      </c>
      <c r="E34" s="6">
        <v>14.2</v>
      </c>
      <c r="F34" s="6">
        <v>14.3</v>
      </c>
      <c r="G34" s="6">
        <v>14.4</v>
      </c>
      <c r="H34" s="6">
        <v>14.7</v>
      </c>
      <c r="I34" s="6">
        <v>14.7</v>
      </c>
      <c r="J34" s="6">
        <v>14.9</v>
      </c>
      <c r="K34" s="6">
        <v>15.1</v>
      </c>
      <c r="L34" s="6">
        <v>15.3</v>
      </c>
      <c r="M34" s="6">
        <v>15.4</v>
      </c>
      <c r="N34" s="6">
        <v>15.5</v>
      </c>
    </row>
    <row r="35" spans="1:14">
      <c r="A35" s="2">
        <v>0</v>
      </c>
      <c r="B35" s="5" t="s">
        <v>46</v>
      </c>
      <c r="C35" s="6">
        <v>15.7</v>
      </c>
      <c r="D35" s="6">
        <v>15.8</v>
      </c>
      <c r="E35" s="6">
        <v>16</v>
      </c>
      <c r="F35" s="6">
        <v>16.100000000000001</v>
      </c>
      <c r="G35" s="6">
        <v>16.3</v>
      </c>
      <c r="H35" s="6">
        <v>16.3</v>
      </c>
      <c r="I35" s="6">
        <v>16.399999999999999</v>
      </c>
      <c r="J35" s="6">
        <v>16.5</v>
      </c>
      <c r="K35" s="6">
        <v>16.5</v>
      </c>
      <c r="L35" s="6">
        <v>16.7</v>
      </c>
      <c r="M35" s="6">
        <v>16.8</v>
      </c>
      <c r="N35" s="6">
        <v>16.899999999999999</v>
      </c>
    </row>
    <row r="36" spans="1:14">
      <c r="A36" s="2">
        <v>0</v>
      </c>
      <c r="B36" s="5" t="s">
        <v>47</v>
      </c>
      <c r="C36" s="6">
        <v>16.899999999999999</v>
      </c>
      <c r="D36" s="6">
        <v>16.899999999999999</v>
      </c>
      <c r="E36" s="6">
        <v>17.2</v>
      </c>
      <c r="F36" s="6">
        <v>17.399999999999999</v>
      </c>
      <c r="G36" s="6">
        <v>17.5</v>
      </c>
      <c r="H36" s="6">
        <v>17.5</v>
      </c>
      <c r="I36" s="6">
        <v>17.399999999999999</v>
      </c>
      <c r="J36" s="6">
        <v>17.3</v>
      </c>
      <c r="K36" s="6">
        <v>17.399999999999999</v>
      </c>
      <c r="L36" s="6">
        <v>17.399999999999999</v>
      </c>
      <c r="M36" s="6">
        <v>17.399999999999999</v>
      </c>
      <c r="N36" s="6">
        <v>17.399999999999999</v>
      </c>
    </row>
    <row r="37" spans="1:14">
      <c r="A37" s="2">
        <v>0</v>
      </c>
      <c r="B37" s="5" t="s">
        <v>48</v>
      </c>
      <c r="C37" s="6">
        <v>17.399999999999999</v>
      </c>
      <c r="D37" s="6">
        <v>17.399999999999999</v>
      </c>
      <c r="E37" s="6">
        <v>17.399999999999999</v>
      </c>
      <c r="F37" s="6">
        <v>17.5</v>
      </c>
      <c r="G37" s="6">
        <v>17.5</v>
      </c>
      <c r="H37" s="6">
        <v>17.600000000000001</v>
      </c>
      <c r="I37" s="6">
        <v>17.7</v>
      </c>
      <c r="J37" s="6">
        <v>17.7</v>
      </c>
      <c r="K37" s="6">
        <v>17.7</v>
      </c>
      <c r="L37" s="6">
        <v>17.7</v>
      </c>
      <c r="M37" s="6">
        <v>17.7</v>
      </c>
      <c r="N37" s="6">
        <v>17.8</v>
      </c>
    </row>
    <row r="38" spans="1:14">
      <c r="A38" s="2">
        <v>0</v>
      </c>
      <c r="B38" s="5" t="s">
        <v>49</v>
      </c>
      <c r="C38" s="6">
        <v>17.8</v>
      </c>
      <c r="D38" s="6">
        <v>17.8</v>
      </c>
      <c r="E38" s="6">
        <v>17.8</v>
      </c>
      <c r="F38" s="6">
        <v>17.8</v>
      </c>
      <c r="G38" s="6">
        <v>17.899999999999999</v>
      </c>
      <c r="H38" s="6">
        <v>18.100000000000001</v>
      </c>
      <c r="I38" s="6">
        <v>18.100000000000001</v>
      </c>
      <c r="J38" s="6">
        <v>18.100000000000001</v>
      </c>
      <c r="K38" s="6">
        <v>18.100000000000001</v>
      </c>
      <c r="L38" s="6">
        <v>18.100000000000001</v>
      </c>
      <c r="M38" s="6">
        <v>18.100000000000001</v>
      </c>
      <c r="N38" s="6">
        <v>18.2</v>
      </c>
    </row>
    <row r="39" spans="1:14">
      <c r="A39" s="2">
        <v>0</v>
      </c>
      <c r="B39" s="5" t="s">
        <v>50</v>
      </c>
      <c r="C39" s="6">
        <v>18.2</v>
      </c>
      <c r="D39" s="6">
        <v>18.100000000000001</v>
      </c>
      <c r="E39" s="6">
        <v>18.3</v>
      </c>
      <c r="F39" s="6">
        <v>18.399999999999999</v>
      </c>
      <c r="G39" s="6">
        <v>18.5</v>
      </c>
      <c r="H39" s="6">
        <v>18.7</v>
      </c>
      <c r="I39" s="6">
        <v>19.8</v>
      </c>
      <c r="J39" s="6">
        <v>20.2</v>
      </c>
      <c r="K39" s="6">
        <v>20.399999999999999</v>
      </c>
      <c r="L39" s="6">
        <v>20.8</v>
      </c>
      <c r="M39" s="6">
        <v>21.3</v>
      </c>
      <c r="N39" s="6">
        <v>21.5</v>
      </c>
    </row>
    <row r="40" spans="1:14">
      <c r="A40" s="2">
        <v>0</v>
      </c>
      <c r="B40" s="5" t="s">
        <v>51</v>
      </c>
      <c r="C40" s="6">
        <v>21.5</v>
      </c>
      <c r="D40" s="6">
        <v>21.5</v>
      </c>
      <c r="E40" s="6">
        <v>21.9</v>
      </c>
      <c r="F40" s="6">
        <v>21.9</v>
      </c>
      <c r="G40" s="6">
        <v>21.9</v>
      </c>
      <c r="H40" s="6">
        <v>22</v>
      </c>
      <c r="I40" s="6">
        <v>22.2</v>
      </c>
      <c r="J40" s="6">
        <v>22.5</v>
      </c>
      <c r="K40" s="6">
        <v>23</v>
      </c>
      <c r="L40" s="6">
        <v>23</v>
      </c>
      <c r="M40" s="6">
        <v>23.1</v>
      </c>
      <c r="N40" s="6">
        <v>23.4</v>
      </c>
    </row>
    <row r="41" spans="1:14">
      <c r="A41" s="2">
        <v>0</v>
      </c>
      <c r="B41" s="5" t="s">
        <v>52</v>
      </c>
      <c r="C41" s="6">
        <v>23.7</v>
      </c>
      <c r="D41" s="6">
        <v>23.5</v>
      </c>
      <c r="E41" s="6">
        <v>23.4</v>
      </c>
      <c r="F41" s="6">
        <v>23.8</v>
      </c>
      <c r="G41" s="6">
        <v>23.9</v>
      </c>
      <c r="H41" s="6">
        <v>24.1</v>
      </c>
      <c r="I41" s="6">
        <v>24.4</v>
      </c>
      <c r="J41" s="6">
        <v>24.5</v>
      </c>
      <c r="K41" s="6">
        <v>24.5</v>
      </c>
      <c r="L41" s="6">
        <v>24.4</v>
      </c>
      <c r="M41" s="6">
        <v>24.2</v>
      </c>
      <c r="N41" s="6">
        <v>24.1</v>
      </c>
    </row>
    <row r="42" spans="1:14">
      <c r="A42" s="2">
        <v>0</v>
      </c>
      <c r="B42" s="5" t="s">
        <v>53</v>
      </c>
      <c r="C42" s="6">
        <v>24</v>
      </c>
      <c r="D42" s="6">
        <v>23.8</v>
      </c>
      <c r="E42" s="6">
        <v>23.8</v>
      </c>
      <c r="F42" s="6">
        <v>23.9</v>
      </c>
      <c r="G42" s="6">
        <v>23.8</v>
      </c>
      <c r="H42" s="6">
        <v>23.9</v>
      </c>
      <c r="I42" s="6">
        <v>23.7</v>
      </c>
      <c r="J42" s="6">
        <v>23.8</v>
      </c>
      <c r="K42" s="6">
        <v>23.9</v>
      </c>
      <c r="L42" s="6">
        <v>23.7</v>
      </c>
      <c r="M42" s="6">
        <v>23.8</v>
      </c>
      <c r="N42" s="6">
        <v>23.6</v>
      </c>
    </row>
    <row r="43" spans="1:14">
      <c r="A43" s="2">
        <v>0</v>
      </c>
      <c r="B43" s="5" t="s">
        <v>54</v>
      </c>
      <c r="C43" s="6">
        <v>23.5</v>
      </c>
      <c r="D43" s="6">
        <v>23.5</v>
      </c>
      <c r="E43" s="6">
        <v>23.6</v>
      </c>
      <c r="F43" s="6">
        <v>23.6</v>
      </c>
      <c r="G43" s="6">
        <v>23.7</v>
      </c>
      <c r="H43" s="6">
        <v>23.8</v>
      </c>
      <c r="I43" s="6">
        <v>24.1</v>
      </c>
      <c r="J43" s="6">
        <v>24.3</v>
      </c>
      <c r="K43" s="6">
        <v>24.4</v>
      </c>
      <c r="L43" s="6">
        <v>24.6</v>
      </c>
      <c r="M43" s="6">
        <v>24.7</v>
      </c>
      <c r="N43" s="6">
        <v>25</v>
      </c>
    </row>
    <row r="44" spans="1:14">
      <c r="A44" s="2">
        <v>0</v>
      </c>
      <c r="B44" s="5" t="s">
        <v>55</v>
      </c>
      <c r="C44" s="6">
        <v>25.4</v>
      </c>
      <c r="D44" s="6">
        <v>25.7</v>
      </c>
      <c r="E44" s="6">
        <v>25.8</v>
      </c>
      <c r="F44" s="6">
        <v>25.8</v>
      </c>
      <c r="G44" s="6">
        <v>25.9</v>
      </c>
      <c r="H44" s="6">
        <v>25.9</v>
      </c>
      <c r="I44" s="6">
        <v>25.9</v>
      </c>
      <c r="J44" s="6">
        <v>25.9</v>
      </c>
      <c r="K44" s="6">
        <v>26.1</v>
      </c>
      <c r="L44" s="6">
        <v>26.2</v>
      </c>
      <c r="M44" s="6">
        <v>26.4</v>
      </c>
      <c r="N44" s="6">
        <v>26.5</v>
      </c>
    </row>
    <row r="45" spans="1:14">
      <c r="A45" s="2">
        <v>0</v>
      </c>
      <c r="B45" s="5" t="s">
        <v>56</v>
      </c>
      <c r="C45" s="6">
        <v>26.5</v>
      </c>
      <c r="D45" s="6">
        <v>26.3</v>
      </c>
      <c r="E45" s="6">
        <v>26.3</v>
      </c>
      <c r="F45" s="6">
        <v>26.4</v>
      </c>
      <c r="G45" s="6">
        <v>26.4</v>
      </c>
      <c r="H45" s="6">
        <v>26.5</v>
      </c>
      <c r="I45" s="6">
        <v>26.7</v>
      </c>
      <c r="J45" s="6">
        <v>26.7</v>
      </c>
      <c r="K45" s="6">
        <v>26.7</v>
      </c>
      <c r="L45" s="6">
        <v>26.7</v>
      </c>
      <c r="M45" s="6">
        <v>26.7</v>
      </c>
      <c r="N45" s="6">
        <v>26.7</v>
      </c>
    </row>
    <row r="46" spans="1:14">
      <c r="A46" s="2">
        <v>0</v>
      </c>
      <c r="B46" s="5" t="s">
        <v>57</v>
      </c>
      <c r="C46" s="6">
        <v>26.6</v>
      </c>
      <c r="D46" s="6">
        <v>26.5</v>
      </c>
      <c r="E46" s="6">
        <v>26.6</v>
      </c>
      <c r="F46" s="6">
        <v>26.6</v>
      </c>
      <c r="G46" s="6">
        <v>26.7</v>
      </c>
      <c r="H46" s="6">
        <v>26.8</v>
      </c>
      <c r="I46" s="6">
        <v>26.8</v>
      </c>
      <c r="J46" s="6">
        <v>26.9</v>
      </c>
      <c r="K46" s="6">
        <v>26.9</v>
      </c>
      <c r="L46" s="6">
        <v>27</v>
      </c>
      <c r="M46" s="6">
        <v>26.9</v>
      </c>
      <c r="N46" s="6">
        <v>26.9</v>
      </c>
    </row>
    <row r="47" spans="1:14">
      <c r="A47" s="2">
        <v>0</v>
      </c>
      <c r="B47" s="5" t="s">
        <v>58</v>
      </c>
      <c r="C47" s="6">
        <v>26.9</v>
      </c>
      <c r="D47" s="6">
        <v>26.9</v>
      </c>
      <c r="E47" s="6">
        <v>26.9</v>
      </c>
      <c r="F47" s="6">
        <v>26.8</v>
      </c>
      <c r="G47" s="6">
        <v>26.9</v>
      </c>
      <c r="H47" s="6">
        <v>26.9</v>
      </c>
      <c r="I47" s="6">
        <v>26.9</v>
      </c>
      <c r="J47" s="6">
        <v>26.9</v>
      </c>
      <c r="K47" s="6">
        <v>26.8</v>
      </c>
      <c r="L47" s="6">
        <v>26.8</v>
      </c>
      <c r="M47" s="6">
        <v>26.8</v>
      </c>
      <c r="N47" s="6">
        <v>26.7</v>
      </c>
    </row>
    <row r="48" spans="1:14">
      <c r="A48" s="2">
        <v>0</v>
      </c>
      <c r="B48" s="5" t="s">
        <v>59</v>
      </c>
      <c r="C48" s="6">
        <v>26.7</v>
      </c>
      <c r="D48" s="6">
        <v>26.7</v>
      </c>
      <c r="E48" s="6">
        <v>26.7</v>
      </c>
      <c r="F48" s="6">
        <v>26.7</v>
      </c>
      <c r="G48" s="6">
        <v>26.7</v>
      </c>
      <c r="H48" s="6">
        <v>26.7</v>
      </c>
      <c r="I48" s="6">
        <v>26.8</v>
      </c>
      <c r="J48" s="6">
        <v>26.8</v>
      </c>
      <c r="K48" s="6">
        <v>26.9</v>
      </c>
      <c r="L48" s="6">
        <v>26.9</v>
      </c>
      <c r="M48" s="6">
        <v>26.9</v>
      </c>
      <c r="N48" s="6">
        <v>26.8</v>
      </c>
    </row>
    <row r="49" spans="1:14">
      <c r="A49" s="2">
        <v>0</v>
      </c>
      <c r="B49" s="5" t="s">
        <v>60</v>
      </c>
      <c r="C49" s="6">
        <v>26.8</v>
      </c>
      <c r="D49" s="6">
        <v>26.8</v>
      </c>
      <c r="E49" s="6">
        <v>26.8</v>
      </c>
      <c r="F49" s="6">
        <v>26.9</v>
      </c>
      <c r="G49" s="6">
        <v>27</v>
      </c>
      <c r="H49" s="6">
        <v>27.2</v>
      </c>
      <c r="I49" s="6">
        <v>27.4</v>
      </c>
      <c r="J49" s="6">
        <v>27.3</v>
      </c>
      <c r="K49" s="6">
        <v>27.4</v>
      </c>
      <c r="L49" s="6">
        <v>27.5</v>
      </c>
      <c r="M49" s="6">
        <v>27.5</v>
      </c>
      <c r="N49" s="6">
        <v>27.6</v>
      </c>
    </row>
    <row r="50" spans="1:14">
      <c r="A50" s="2">
        <v>0</v>
      </c>
      <c r="B50" s="5" t="s">
        <v>61</v>
      </c>
      <c r="C50" s="6">
        <v>27.6</v>
      </c>
      <c r="D50" s="6">
        <v>27.7</v>
      </c>
      <c r="E50" s="6">
        <v>27.8</v>
      </c>
      <c r="F50" s="6">
        <v>27.9</v>
      </c>
      <c r="G50" s="6">
        <v>28</v>
      </c>
      <c r="H50" s="6">
        <v>28.1</v>
      </c>
      <c r="I50" s="6">
        <v>28.3</v>
      </c>
      <c r="J50" s="6">
        <v>28.3</v>
      </c>
      <c r="K50" s="6">
        <v>28.3</v>
      </c>
      <c r="L50" s="6">
        <v>28.3</v>
      </c>
      <c r="M50" s="6">
        <v>28.4</v>
      </c>
      <c r="N50" s="6">
        <v>28.4</v>
      </c>
    </row>
    <row r="51" spans="1:14">
      <c r="A51" s="2">
        <v>0</v>
      </c>
      <c r="B51" s="5" t="s">
        <v>62</v>
      </c>
      <c r="C51" s="6">
        <v>28.6</v>
      </c>
      <c r="D51" s="6">
        <v>28.6</v>
      </c>
      <c r="E51" s="6">
        <v>28.8</v>
      </c>
      <c r="F51" s="6">
        <v>28.9</v>
      </c>
      <c r="G51" s="6">
        <v>28.9</v>
      </c>
      <c r="H51" s="6">
        <v>28.9</v>
      </c>
      <c r="I51" s="6">
        <v>29</v>
      </c>
      <c r="J51" s="6">
        <v>28.9</v>
      </c>
      <c r="K51" s="6">
        <v>28.9</v>
      </c>
      <c r="L51" s="6">
        <v>28.9</v>
      </c>
      <c r="M51" s="6">
        <v>29</v>
      </c>
      <c r="N51" s="6">
        <v>28.9</v>
      </c>
    </row>
    <row r="52" spans="1:14">
      <c r="A52" s="2">
        <v>0</v>
      </c>
      <c r="B52" s="5" t="s">
        <v>63</v>
      </c>
      <c r="C52" s="6">
        <v>29</v>
      </c>
      <c r="D52" s="6">
        <v>28.9</v>
      </c>
      <c r="E52" s="6">
        <v>28.9</v>
      </c>
      <c r="F52" s="6">
        <v>29</v>
      </c>
      <c r="G52" s="6">
        <v>29</v>
      </c>
      <c r="H52" s="6">
        <v>29.1</v>
      </c>
      <c r="I52" s="6">
        <v>29.2</v>
      </c>
      <c r="J52" s="6">
        <v>29.2</v>
      </c>
      <c r="K52" s="6">
        <v>29.3</v>
      </c>
      <c r="L52" s="6">
        <v>29.4</v>
      </c>
      <c r="M52" s="6">
        <v>29.4</v>
      </c>
      <c r="N52" s="6">
        <v>29.4</v>
      </c>
    </row>
    <row r="53" spans="1:14">
      <c r="A53" s="2">
        <v>0</v>
      </c>
      <c r="B53" s="5" t="s">
        <v>64</v>
      </c>
      <c r="C53" s="6">
        <v>29.3</v>
      </c>
      <c r="D53" s="6">
        <v>29.4</v>
      </c>
      <c r="E53" s="6">
        <v>29.4</v>
      </c>
      <c r="F53" s="6">
        <v>29.5</v>
      </c>
      <c r="G53" s="6">
        <v>29.5</v>
      </c>
      <c r="H53" s="6">
        <v>29.6</v>
      </c>
      <c r="I53" s="6">
        <v>29.6</v>
      </c>
      <c r="J53" s="6">
        <v>29.6</v>
      </c>
      <c r="K53" s="6">
        <v>29.6</v>
      </c>
      <c r="L53" s="6">
        <v>29.8</v>
      </c>
      <c r="M53" s="6">
        <v>29.8</v>
      </c>
      <c r="N53" s="6">
        <v>29.8</v>
      </c>
    </row>
    <row r="54" spans="1:14">
      <c r="A54" s="2">
        <v>0</v>
      </c>
      <c r="B54" s="5" t="s">
        <v>65</v>
      </c>
      <c r="C54" s="6">
        <v>29.8</v>
      </c>
      <c r="D54" s="6">
        <v>29.8</v>
      </c>
      <c r="E54" s="6">
        <v>29.8</v>
      </c>
      <c r="F54" s="6">
        <v>29.8</v>
      </c>
      <c r="G54" s="6">
        <v>29.8</v>
      </c>
      <c r="H54" s="6">
        <v>29.8</v>
      </c>
      <c r="I54" s="6">
        <v>30</v>
      </c>
      <c r="J54" s="6">
        <v>29.9</v>
      </c>
      <c r="K54" s="6">
        <v>30</v>
      </c>
      <c r="L54" s="6">
        <v>30</v>
      </c>
      <c r="M54" s="6">
        <v>30</v>
      </c>
      <c r="N54" s="6">
        <v>30</v>
      </c>
    </row>
    <row r="55" spans="1:14">
      <c r="A55" s="2">
        <v>0</v>
      </c>
      <c r="B55" s="5" t="s">
        <v>66</v>
      </c>
      <c r="C55" s="6">
        <v>30</v>
      </c>
      <c r="D55" s="6">
        <v>30.1</v>
      </c>
      <c r="E55" s="6">
        <v>30.1</v>
      </c>
      <c r="F55" s="6">
        <v>30.2</v>
      </c>
      <c r="G55" s="6">
        <v>30.2</v>
      </c>
      <c r="H55" s="6">
        <v>30.2</v>
      </c>
      <c r="I55" s="6">
        <v>30.3</v>
      </c>
      <c r="J55" s="6">
        <v>30.3</v>
      </c>
      <c r="K55" s="6">
        <v>30.4</v>
      </c>
      <c r="L55" s="6">
        <v>30.4</v>
      </c>
      <c r="M55" s="6">
        <v>30.4</v>
      </c>
      <c r="N55" s="6">
        <v>30.4</v>
      </c>
    </row>
    <row r="56" spans="1:14">
      <c r="A56" s="2">
        <v>0</v>
      </c>
      <c r="B56" s="5" t="s">
        <v>67</v>
      </c>
      <c r="C56" s="6">
        <v>30.4</v>
      </c>
      <c r="D56" s="6">
        <v>30.4</v>
      </c>
      <c r="E56" s="6">
        <v>30.5</v>
      </c>
      <c r="F56" s="6">
        <v>30.5</v>
      </c>
      <c r="G56" s="6">
        <v>30.5</v>
      </c>
      <c r="H56" s="6">
        <v>30.6</v>
      </c>
      <c r="I56" s="6">
        <v>30.7</v>
      </c>
      <c r="J56" s="6">
        <v>30.7</v>
      </c>
      <c r="K56" s="6">
        <v>30.7</v>
      </c>
      <c r="L56" s="6">
        <v>30.8</v>
      </c>
      <c r="M56" s="6">
        <v>30.8</v>
      </c>
      <c r="N56" s="6">
        <v>30.9</v>
      </c>
    </row>
    <row r="57" spans="1:14">
      <c r="A57" s="2">
        <v>0</v>
      </c>
      <c r="B57" s="5" t="s">
        <v>68</v>
      </c>
      <c r="C57" s="6">
        <v>30.9</v>
      </c>
      <c r="D57" s="6">
        <v>30.9</v>
      </c>
      <c r="E57" s="6">
        <v>30.9</v>
      </c>
      <c r="F57" s="6">
        <v>30.9</v>
      </c>
      <c r="G57" s="6">
        <v>30.9</v>
      </c>
      <c r="H57" s="6">
        <v>31</v>
      </c>
      <c r="I57" s="6">
        <v>31.1</v>
      </c>
      <c r="J57" s="6">
        <v>31</v>
      </c>
      <c r="K57" s="6">
        <v>31.1</v>
      </c>
      <c r="L57" s="6">
        <v>31.1</v>
      </c>
      <c r="M57" s="6">
        <v>31.2</v>
      </c>
      <c r="N57" s="6">
        <v>31.2</v>
      </c>
    </row>
    <row r="58" spans="1:14">
      <c r="A58" s="2">
        <v>0</v>
      </c>
      <c r="B58" s="5" t="s">
        <v>69</v>
      </c>
      <c r="C58" s="6">
        <v>31.2</v>
      </c>
      <c r="D58" s="6">
        <v>31.2</v>
      </c>
      <c r="E58" s="6">
        <v>31.3</v>
      </c>
      <c r="F58" s="6">
        <v>31.4</v>
      </c>
      <c r="G58" s="6">
        <v>31.4</v>
      </c>
      <c r="H58" s="6">
        <v>31.6</v>
      </c>
      <c r="I58" s="6">
        <v>31.6</v>
      </c>
      <c r="J58" s="6">
        <v>31.6</v>
      </c>
      <c r="K58" s="6">
        <v>31.6</v>
      </c>
      <c r="L58" s="6">
        <v>31.7</v>
      </c>
      <c r="M58" s="6">
        <v>31.7</v>
      </c>
      <c r="N58" s="6">
        <v>31.8</v>
      </c>
    </row>
    <row r="59" spans="1:14">
      <c r="A59" s="2">
        <v>0</v>
      </c>
      <c r="B59" s="5" t="s">
        <v>70</v>
      </c>
      <c r="C59" s="6">
        <v>31.8</v>
      </c>
      <c r="D59" s="6">
        <v>32</v>
      </c>
      <c r="E59" s="6">
        <v>32.1</v>
      </c>
      <c r="F59" s="6">
        <v>32.299999999999997</v>
      </c>
      <c r="G59" s="6">
        <v>32.299999999999997</v>
      </c>
      <c r="H59" s="6">
        <v>32.4</v>
      </c>
      <c r="I59" s="6">
        <v>32.5</v>
      </c>
      <c r="J59" s="6">
        <v>32.700000000000003</v>
      </c>
      <c r="K59" s="6">
        <v>32.700000000000003</v>
      </c>
      <c r="L59" s="6">
        <v>32.9</v>
      </c>
      <c r="M59" s="6">
        <v>32.9</v>
      </c>
      <c r="N59" s="6">
        <v>32.9</v>
      </c>
    </row>
    <row r="60" spans="1:14">
      <c r="A60" s="2">
        <v>0</v>
      </c>
      <c r="B60" s="5" t="s">
        <v>71</v>
      </c>
      <c r="C60" s="6">
        <v>32.9</v>
      </c>
      <c r="D60" s="6">
        <v>32.9</v>
      </c>
      <c r="E60" s="6">
        <v>33</v>
      </c>
      <c r="F60" s="6">
        <v>33.1</v>
      </c>
      <c r="G60" s="6">
        <v>33.200000000000003</v>
      </c>
      <c r="H60" s="6">
        <v>33.299999999999997</v>
      </c>
      <c r="I60" s="6">
        <v>33.4</v>
      </c>
      <c r="J60" s="6">
        <v>33.5</v>
      </c>
      <c r="K60" s="6">
        <v>33.6</v>
      </c>
      <c r="L60" s="6">
        <v>33.700000000000003</v>
      </c>
      <c r="M60" s="6">
        <v>33.799999999999997</v>
      </c>
      <c r="N60" s="6">
        <v>33.9</v>
      </c>
    </row>
    <row r="61" spans="1:14">
      <c r="A61" s="2">
        <v>0</v>
      </c>
      <c r="B61" s="5" t="s">
        <v>72</v>
      </c>
      <c r="C61" s="6">
        <v>34.1</v>
      </c>
      <c r="D61" s="6">
        <v>34.200000000000003</v>
      </c>
      <c r="E61" s="6">
        <v>34.299999999999997</v>
      </c>
      <c r="F61" s="6">
        <v>34.4</v>
      </c>
      <c r="G61" s="6">
        <v>34.5</v>
      </c>
      <c r="H61" s="6">
        <v>34.700000000000003</v>
      </c>
      <c r="I61" s="6">
        <v>34.9</v>
      </c>
      <c r="J61" s="6">
        <v>35</v>
      </c>
      <c r="K61" s="6">
        <v>35.1</v>
      </c>
      <c r="L61" s="6">
        <v>35.299999999999997</v>
      </c>
      <c r="M61" s="6">
        <v>35.4</v>
      </c>
      <c r="N61" s="6">
        <v>35.5</v>
      </c>
    </row>
    <row r="62" spans="1:14">
      <c r="A62" s="2">
        <v>0</v>
      </c>
      <c r="B62" s="5" t="s">
        <v>73</v>
      </c>
      <c r="C62" s="6">
        <v>35.6</v>
      </c>
      <c r="D62" s="6">
        <v>35.799999999999997</v>
      </c>
      <c r="E62" s="6">
        <v>36.1</v>
      </c>
      <c r="F62" s="6">
        <v>36.299999999999997</v>
      </c>
      <c r="G62" s="6">
        <v>36.4</v>
      </c>
      <c r="H62" s="6">
        <v>36.6</v>
      </c>
      <c r="I62" s="6">
        <v>36.799999999999997</v>
      </c>
      <c r="J62" s="6">
        <v>37</v>
      </c>
      <c r="K62" s="6">
        <v>37.1</v>
      </c>
      <c r="L62" s="6">
        <v>37.299999999999997</v>
      </c>
      <c r="M62" s="6">
        <v>37.5</v>
      </c>
      <c r="N62" s="6">
        <v>37.700000000000003</v>
      </c>
    </row>
    <row r="63" spans="1:14">
      <c r="A63" s="2">
        <v>0</v>
      </c>
      <c r="B63" s="5" t="s">
        <v>74</v>
      </c>
      <c r="C63" s="6">
        <v>37.799999999999997</v>
      </c>
      <c r="D63" s="6">
        <v>38</v>
      </c>
      <c r="E63" s="6">
        <v>38.200000000000003</v>
      </c>
      <c r="F63" s="6">
        <v>38.5</v>
      </c>
      <c r="G63" s="6">
        <v>38.6</v>
      </c>
      <c r="H63" s="6">
        <v>38.799999999999997</v>
      </c>
      <c r="I63" s="6">
        <v>39</v>
      </c>
      <c r="J63" s="6">
        <v>39</v>
      </c>
      <c r="K63" s="6">
        <v>39.200000000000003</v>
      </c>
      <c r="L63" s="6">
        <v>39.4</v>
      </c>
      <c r="M63" s="6">
        <v>39.6</v>
      </c>
      <c r="N63" s="6">
        <v>39.799999999999997</v>
      </c>
    </row>
    <row r="64" spans="1:14">
      <c r="A64" s="2">
        <v>0</v>
      </c>
      <c r="B64" s="5" t="s">
        <v>75</v>
      </c>
      <c r="C64" s="6">
        <v>39.799999999999997</v>
      </c>
      <c r="D64" s="6">
        <v>39.9</v>
      </c>
      <c r="E64" s="6">
        <v>40</v>
      </c>
      <c r="F64" s="6">
        <v>40.1</v>
      </c>
      <c r="G64" s="6">
        <v>40.299999999999997</v>
      </c>
      <c r="H64" s="6">
        <v>40.6</v>
      </c>
      <c r="I64" s="6">
        <v>40.700000000000003</v>
      </c>
      <c r="J64" s="6">
        <v>40.799999999999997</v>
      </c>
      <c r="K64" s="6">
        <v>40.799999999999997</v>
      </c>
      <c r="L64" s="6">
        <v>40.9</v>
      </c>
      <c r="M64" s="6">
        <v>40.9</v>
      </c>
      <c r="N64" s="6">
        <v>41.1</v>
      </c>
    </row>
    <row r="65" spans="1:14">
      <c r="A65" s="2">
        <v>0</v>
      </c>
      <c r="B65" s="5" t="s">
        <v>76</v>
      </c>
      <c r="C65" s="6">
        <v>41.1</v>
      </c>
      <c r="D65" s="6">
        <v>41.3</v>
      </c>
      <c r="E65" s="6">
        <v>41.4</v>
      </c>
      <c r="F65" s="6">
        <v>41.5</v>
      </c>
      <c r="G65" s="6">
        <v>41.6</v>
      </c>
      <c r="H65" s="6">
        <v>41.7</v>
      </c>
      <c r="I65" s="6">
        <v>41.9</v>
      </c>
      <c r="J65" s="6">
        <v>42</v>
      </c>
      <c r="K65" s="6">
        <v>42.1</v>
      </c>
      <c r="L65" s="6">
        <v>42.3</v>
      </c>
      <c r="M65" s="6">
        <v>42.4</v>
      </c>
      <c r="N65" s="6">
        <v>42.5</v>
      </c>
    </row>
    <row r="66" spans="1:14">
      <c r="A66" s="2">
        <v>0</v>
      </c>
      <c r="B66" s="5" t="s">
        <v>77</v>
      </c>
      <c r="C66" s="6">
        <v>42.6</v>
      </c>
      <c r="D66" s="6">
        <v>42.9</v>
      </c>
      <c r="E66" s="6">
        <v>43.3</v>
      </c>
      <c r="F66" s="6">
        <v>43.6</v>
      </c>
      <c r="G66" s="6">
        <v>43.9</v>
      </c>
      <c r="H66" s="6">
        <v>44.2</v>
      </c>
      <c r="I66" s="6">
        <v>44.3</v>
      </c>
      <c r="J66" s="6">
        <v>45.1</v>
      </c>
      <c r="K66" s="6">
        <v>45.2</v>
      </c>
      <c r="L66" s="6">
        <v>45.6</v>
      </c>
      <c r="M66" s="6">
        <v>45.9</v>
      </c>
      <c r="N66" s="6">
        <v>46.2</v>
      </c>
    </row>
    <row r="67" spans="1:14">
      <c r="A67" s="2">
        <v>0</v>
      </c>
      <c r="B67" s="5" t="s">
        <v>78</v>
      </c>
      <c r="C67" s="6">
        <v>46.6</v>
      </c>
      <c r="D67" s="6">
        <v>47.2</v>
      </c>
      <c r="E67" s="6">
        <v>47.8</v>
      </c>
      <c r="F67" s="6">
        <v>48</v>
      </c>
      <c r="G67" s="6">
        <v>48.6</v>
      </c>
      <c r="H67" s="6">
        <v>49</v>
      </c>
      <c r="I67" s="6">
        <v>49.4</v>
      </c>
      <c r="J67" s="6">
        <v>50</v>
      </c>
      <c r="K67" s="6">
        <v>50.6</v>
      </c>
      <c r="L67" s="6">
        <v>51.1</v>
      </c>
      <c r="M67" s="6">
        <v>51.5</v>
      </c>
      <c r="N67" s="6">
        <v>51.9</v>
      </c>
    </row>
    <row r="68" spans="1:14">
      <c r="A68" s="2">
        <v>0</v>
      </c>
      <c r="B68" s="5" t="s">
        <v>79</v>
      </c>
      <c r="C68" s="6">
        <v>52.1</v>
      </c>
      <c r="D68" s="6">
        <v>52.5</v>
      </c>
      <c r="E68" s="6">
        <v>52.7</v>
      </c>
      <c r="F68" s="6">
        <v>52.9</v>
      </c>
      <c r="G68" s="6">
        <v>53.2</v>
      </c>
      <c r="H68" s="6">
        <v>53.6</v>
      </c>
      <c r="I68" s="6">
        <v>54.2</v>
      </c>
      <c r="J68" s="6">
        <v>54.3</v>
      </c>
      <c r="K68" s="6">
        <v>54.6</v>
      </c>
      <c r="L68" s="6">
        <v>54.9</v>
      </c>
      <c r="M68" s="6">
        <v>55.3</v>
      </c>
      <c r="N68" s="6">
        <v>55.5</v>
      </c>
    </row>
    <row r="69" spans="1:14">
      <c r="A69" s="2">
        <v>0</v>
      </c>
      <c r="B69" s="5" t="s">
        <v>80</v>
      </c>
      <c r="C69" s="6">
        <v>55.6</v>
      </c>
      <c r="D69" s="6">
        <v>55.8</v>
      </c>
      <c r="E69" s="6">
        <v>55.9</v>
      </c>
      <c r="F69" s="6">
        <v>56.1</v>
      </c>
      <c r="G69" s="6">
        <v>56.5</v>
      </c>
      <c r="H69" s="6">
        <v>56.8</v>
      </c>
      <c r="I69" s="6">
        <v>57.1</v>
      </c>
      <c r="J69" s="6">
        <v>57.4</v>
      </c>
      <c r="K69" s="6">
        <v>57.6</v>
      </c>
      <c r="L69" s="6">
        <v>57.9</v>
      </c>
      <c r="M69" s="6">
        <v>58</v>
      </c>
      <c r="N69" s="6">
        <v>58.2</v>
      </c>
    </row>
    <row r="70" spans="1:14">
      <c r="A70" s="2">
        <v>0</v>
      </c>
      <c r="B70" s="5" t="s">
        <v>81</v>
      </c>
      <c r="C70" s="6">
        <v>58.5</v>
      </c>
      <c r="D70" s="6">
        <v>59.1</v>
      </c>
      <c r="E70" s="6">
        <v>59.5</v>
      </c>
      <c r="F70" s="6">
        <v>60</v>
      </c>
      <c r="G70" s="6">
        <v>60.3</v>
      </c>
      <c r="H70" s="6">
        <v>60.7</v>
      </c>
      <c r="I70" s="6">
        <v>61</v>
      </c>
      <c r="J70" s="6">
        <v>61.2</v>
      </c>
      <c r="K70" s="6">
        <v>61.4</v>
      </c>
      <c r="L70" s="6">
        <v>61.6</v>
      </c>
      <c r="M70" s="6">
        <v>61.9</v>
      </c>
      <c r="N70" s="6">
        <v>62.1</v>
      </c>
    </row>
    <row r="71" spans="1:14">
      <c r="A71" s="2">
        <v>0</v>
      </c>
      <c r="B71" s="5" t="s">
        <v>82</v>
      </c>
      <c r="C71" s="6">
        <v>62.5</v>
      </c>
      <c r="D71" s="6">
        <v>62.9</v>
      </c>
      <c r="E71" s="6">
        <v>63.4</v>
      </c>
      <c r="F71" s="6">
        <v>63.9</v>
      </c>
      <c r="G71" s="6">
        <v>64.5</v>
      </c>
      <c r="H71" s="6">
        <v>65.2</v>
      </c>
      <c r="I71" s="6">
        <v>65.7</v>
      </c>
      <c r="J71" s="6">
        <v>66</v>
      </c>
      <c r="K71" s="6">
        <v>66.5</v>
      </c>
      <c r="L71" s="6">
        <v>67.099999999999994</v>
      </c>
      <c r="M71" s="6">
        <v>67.400000000000006</v>
      </c>
      <c r="N71" s="6">
        <v>67.7</v>
      </c>
    </row>
    <row r="72" spans="1:14">
      <c r="A72" s="2">
        <v>0</v>
      </c>
      <c r="B72" s="5" t="s">
        <v>83</v>
      </c>
      <c r="C72" s="6">
        <v>68.3</v>
      </c>
      <c r="D72" s="6">
        <v>69.099999999999994</v>
      </c>
      <c r="E72" s="6">
        <v>69.8</v>
      </c>
      <c r="F72" s="6">
        <v>70.599999999999994</v>
      </c>
      <c r="G72" s="6">
        <v>71.5</v>
      </c>
      <c r="H72" s="6">
        <v>72.3</v>
      </c>
      <c r="I72" s="6">
        <v>73.099999999999994</v>
      </c>
      <c r="J72" s="6">
        <v>73.8</v>
      </c>
      <c r="K72" s="6">
        <v>74.599999999999994</v>
      </c>
      <c r="L72" s="6">
        <v>75.2</v>
      </c>
      <c r="M72" s="6">
        <v>75.900000000000006</v>
      </c>
      <c r="N72" s="6">
        <v>76.7</v>
      </c>
    </row>
    <row r="73" spans="1:14">
      <c r="A73" s="2">
        <v>0</v>
      </c>
      <c r="B73" s="5" t="s">
        <v>84</v>
      </c>
      <c r="C73" s="6">
        <v>77.8</v>
      </c>
      <c r="D73" s="6">
        <v>78.900000000000006</v>
      </c>
      <c r="E73" s="6">
        <v>80.099999999999994</v>
      </c>
      <c r="F73" s="6">
        <v>81</v>
      </c>
      <c r="G73" s="6">
        <v>81.8</v>
      </c>
      <c r="H73" s="6">
        <v>82.7</v>
      </c>
      <c r="I73" s="6">
        <v>82.7</v>
      </c>
      <c r="J73" s="6">
        <v>83.3</v>
      </c>
      <c r="K73" s="6">
        <v>84</v>
      </c>
      <c r="L73" s="6">
        <v>84.8</v>
      </c>
      <c r="M73" s="6">
        <v>85.5</v>
      </c>
      <c r="N73" s="6">
        <v>86.3</v>
      </c>
    </row>
    <row r="74" spans="1:14">
      <c r="A74" s="2">
        <v>0</v>
      </c>
      <c r="B74" s="5" t="s">
        <v>85</v>
      </c>
      <c r="C74" s="6">
        <v>87</v>
      </c>
      <c r="D74" s="6">
        <v>87.9</v>
      </c>
      <c r="E74" s="6">
        <v>88.5</v>
      </c>
      <c r="F74" s="6">
        <v>89.1</v>
      </c>
      <c r="G74" s="6">
        <v>89.8</v>
      </c>
      <c r="H74" s="6">
        <v>90.6</v>
      </c>
      <c r="I74" s="6">
        <v>91.6</v>
      </c>
      <c r="J74" s="6">
        <v>92.3</v>
      </c>
      <c r="K74" s="6">
        <v>93.2</v>
      </c>
      <c r="L74" s="6">
        <v>93.4</v>
      </c>
      <c r="M74" s="6">
        <v>93.7</v>
      </c>
      <c r="N74" s="6">
        <v>94</v>
      </c>
    </row>
    <row r="75" spans="1:14">
      <c r="A75" s="2">
        <v>0</v>
      </c>
      <c r="B75" s="5" t="s">
        <v>86</v>
      </c>
      <c r="C75" s="6">
        <v>94.3</v>
      </c>
      <c r="D75" s="6">
        <v>94.6</v>
      </c>
      <c r="E75" s="6">
        <v>94.5</v>
      </c>
      <c r="F75" s="6">
        <v>94.9</v>
      </c>
      <c r="G75" s="6">
        <v>95.8</v>
      </c>
      <c r="H75" s="6">
        <v>97</v>
      </c>
      <c r="I75" s="6">
        <v>97.5</v>
      </c>
      <c r="J75" s="6">
        <v>97.7</v>
      </c>
      <c r="K75" s="6">
        <v>97.9</v>
      </c>
      <c r="L75" s="6">
        <v>98.2</v>
      </c>
      <c r="M75" s="6">
        <v>98</v>
      </c>
      <c r="N75" s="6">
        <v>97.6</v>
      </c>
    </row>
    <row r="76" spans="1:14">
      <c r="A76" s="2">
        <v>0</v>
      </c>
      <c r="B76" s="5" t="s">
        <v>87</v>
      </c>
      <c r="C76" s="6">
        <v>97.8</v>
      </c>
      <c r="D76" s="6">
        <v>97.9</v>
      </c>
      <c r="E76" s="6">
        <v>97.9</v>
      </c>
      <c r="F76" s="6">
        <v>98.6</v>
      </c>
      <c r="G76" s="6">
        <v>99.2</v>
      </c>
      <c r="H76" s="6">
        <v>99.5</v>
      </c>
      <c r="I76" s="6">
        <v>99.9</v>
      </c>
      <c r="J76" s="6">
        <v>100.2</v>
      </c>
      <c r="K76" s="6">
        <v>100.7</v>
      </c>
      <c r="L76" s="6">
        <v>101</v>
      </c>
      <c r="M76" s="6">
        <v>101.2</v>
      </c>
      <c r="N76" s="6">
        <v>101.3</v>
      </c>
    </row>
    <row r="77" spans="1:14">
      <c r="A77" s="2">
        <v>0</v>
      </c>
      <c r="B77" s="5" t="s">
        <v>88</v>
      </c>
      <c r="C77" s="6">
        <v>101.9</v>
      </c>
      <c r="D77" s="6">
        <v>102.4</v>
      </c>
      <c r="E77" s="6">
        <v>102.6</v>
      </c>
      <c r="F77" s="6">
        <v>103.1</v>
      </c>
      <c r="G77" s="6">
        <v>103.4</v>
      </c>
      <c r="H77" s="6">
        <v>103.7</v>
      </c>
      <c r="I77" s="6">
        <v>104.1</v>
      </c>
      <c r="J77" s="6">
        <v>104.5</v>
      </c>
      <c r="K77" s="6">
        <v>105</v>
      </c>
      <c r="L77" s="6">
        <v>105.3</v>
      </c>
      <c r="M77" s="6">
        <v>105.3</v>
      </c>
      <c r="N77" s="6">
        <v>105.3</v>
      </c>
    </row>
    <row r="78" spans="1:14">
      <c r="A78" s="2">
        <v>0</v>
      </c>
      <c r="B78" s="5" t="s">
        <v>89</v>
      </c>
      <c r="C78" s="6">
        <v>105.5</v>
      </c>
      <c r="D78" s="6">
        <v>106</v>
      </c>
      <c r="E78" s="6">
        <v>106.4</v>
      </c>
      <c r="F78" s="6">
        <v>106.9</v>
      </c>
      <c r="G78" s="6">
        <v>107.3</v>
      </c>
      <c r="H78" s="6">
        <v>107.6</v>
      </c>
      <c r="I78" s="6">
        <v>107.8</v>
      </c>
      <c r="J78" s="6">
        <v>108</v>
      </c>
      <c r="K78" s="6">
        <v>108.3</v>
      </c>
      <c r="L78" s="6">
        <v>108.7</v>
      </c>
      <c r="M78" s="6">
        <v>109</v>
      </c>
      <c r="N78" s="6">
        <v>109.3</v>
      </c>
    </row>
    <row r="79" spans="1:14">
      <c r="A79" s="2">
        <v>0</v>
      </c>
      <c r="B79" s="5" t="s">
        <v>90</v>
      </c>
      <c r="C79" s="6">
        <v>109.6</v>
      </c>
      <c r="D79" s="6">
        <v>109.3</v>
      </c>
      <c r="E79" s="6">
        <v>108.8</v>
      </c>
      <c r="F79" s="6">
        <v>108.6</v>
      </c>
      <c r="G79" s="6">
        <v>108.9</v>
      </c>
      <c r="H79" s="6">
        <v>109.5</v>
      </c>
      <c r="I79" s="6">
        <v>109.5</v>
      </c>
      <c r="J79" s="6">
        <v>109.7</v>
      </c>
      <c r="K79" s="6">
        <v>110.2</v>
      </c>
      <c r="L79" s="6">
        <v>110.3</v>
      </c>
      <c r="M79" s="6">
        <v>110.4</v>
      </c>
      <c r="N79" s="6">
        <v>110.5</v>
      </c>
    </row>
    <row r="80" spans="1:14">
      <c r="A80" s="2">
        <v>0</v>
      </c>
      <c r="B80" s="5" t="s">
        <v>91</v>
      </c>
      <c r="C80" s="6">
        <v>111.2</v>
      </c>
      <c r="D80" s="6">
        <v>111.6</v>
      </c>
      <c r="E80" s="6">
        <v>112.1</v>
      </c>
      <c r="F80" s="6">
        <v>112.7</v>
      </c>
      <c r="G80" s="6">
        <v>113.1</v>
      </c>
      <c r="H80" s="6">
        <v>113.5</v>
      </c>
      <c r="I80" s="6">
        <v>113.8</v>
      </c>
      <c r="J80" s="6">
        <v>114.4</v>
      </c>
      <c r="K80" s="6">
        <v>115</v>
      </c>
      <c r="L80" s="6">
        <v>115.3</v>
      </c>
      <c r="M80" s="6">
        <v>115.4</v>
      </c>
      <c r="N80" s="6">
        <v>115.4</v>
      </c>
    </row>
    <row r="81" spans="1:14">
      <c r="A81" s="2">
        <v>0</v>
      </c>
      <c r="B81" s="5" t="s">
        <v>92</v>
      </c>
      <c r="C81" s="6">
        <v>115.7</v>
      </c>
      <c r="D81" s="6">
        <v>116</v>
      </c>
      <c r="E81" s="6">
        <v>116.5</v>
      </c>
      <c r="F81" s="6">
        <v>117.1</v>
      </c>
      <c r="G81" s="6">
        <v>117.5</v>
      </c>
      <c r="H81" s="6">
        <v>118</v>
      </c>
      <c r="I81" s="6">
        <v>118.5</v>
      </c>
      <c r="J81" s="6">
        <v>119</v>
      </c>
      <c r="K81" s="6">
        <v>119.8</v>
      </c>
      <c r="L81" s="6">
        <v>120.2</v>
      </c>
      <c r="M81" s="6">
        <v>120.3</v>
      </c>
      <c r="N81" s="6">
        <v>120.5</v>
      </c>
    </row>
    <row r="82" spans="1:14">
      <c r="A82" s="2">
        <v>0</v>
      </c>
      <c r="B82" s="5" t="s">
        <v>93</v>
      </c>
      <c r="C82" s="6">
        <v>121.1</v>
      </c>
      <c r="D82" s="6">
        <v>121.6</v>
      </c>
      <c r="E82" s="6">
        <v>122.3</v>
      </c>
      <c r="F82" s="6">
        <v>123.1</v>
      </c>
      <c r="G82" s="6">
        <v>123.8</v>
      </c>
      <c r="H82" s="6">
        <v>124.1</v>
      </c>
      <c r="I82" s="6">
        <v>124.4</v>
      </c>
      <c r="J82" s="6">
        <v>124.6</v>
      </c>
      <c r="K82" s="6">
        <v>125</v>
      </c>
      <c r="L82" s="6">
        <v>125.6</v>
      </c>
      <c r="M82" s="6">
        <v>125.9</v>
      </c>
      <c r="N82" s="6">
        <v>126.1</v>
      </c>
    </row>
    <row r="83" spans="1:14">
      <c r="A83" s="2">
        <v>0</v>
      </c>
      <c r="B83" s="5" t="s">
        <v>94</v>
      </c>
      <c r="C83" s="6">
        <v>127.4</v>
      </c>
      <c r="D83" s="6">
        <v>128</v>
      </c>
      <c r="E83" s="6">
        <v>128.69999999999999</v>
      </c>
      <c r="F83" s="6">
        <v>128.9</v>
      </c>
      <c r="G83" s="6">
        <v>129.19999999999999</v>
      </c>
      <c r="H83" s="6">
        <v>129.9</v>
      </c>
      <c r="I83" s="6">
        <v>130.4</v>
      </c>
      <c r="J83" s="6">
        <v>131.6</v>
      </c>
      <c r="K83" s="6">
        <v>132.69999999999999</v>
      </c>
      <c r="L83" s="6">
        <v>133.5</v>
      </c>
      <c r="M83" s="6">
        <v>133.80000000000001</v>
      </c>
      <c r="N83" s="6">
        <v>133.80000000000001</v>
      </c>
    </row>
    <row r="84" spans="1:14">
      <c r="A84" s="2">
        <v>0</v>
      </c>
      <c r="B84" s="5" t="s">
        <v>95</v>
      </c>
      <c r="C84" s="6">
        <v>134.6</v>
      </c>
      <c r="D84" s="6">
        <v>134.80000000000001</v>
      </c>
      <c r="E84" s="6">
        <v>135</v>
      </c>
      <c r="F84" s="6">
        <v>135.19999999999999</v>
      </c>
      <c r="G84" s="6">
        <v>135.6</v>
      </c>
      <c r="H84" s="6">
        <v>136</v>
      </c>
      <c r="I84" s="6">
        <v>136.19999999999999</v>
      </c>
      <c r="J84" s="6">
        <v>136.6</v>
      </c>
      <c r="K84" s="6">
        <v>137.19999999999999</v>
      </c>
      <c r="L84" s="6">
        <v>137.4</v>
      </c>
      <c r="M84" s="6">
        <v>137.80000000000001</v>
      </c>
      <c r="N84" s="6">
        <v>137.9</v>
      </c>
    </row>
    <row r="85" spans="1:14">
      <c r="A85" s="2">
        <v>0</v>
      </c>
      <c r="B85" s="5" t="s">
        <v>96</v>
      </c>
      <c r="C85" s="6">
        <v>138.1</v>
      </c>
      <c r="D85" s="6">
        <v>138.6</v>
      </c>
      <c r="E85" s="6">
        <v>139.30000000000001</v>
      </c>
      <c r="F85" s="6">
        <v>139.5</v>
      </c>
      <c r="G85" s="6">
        <v>139.69999999999999</v>
      </c>
      <c r="H85" s="6">
        <v>140.19999999999999</v>
      </c>
      <c r="I85" s="6">
        <v>140.5</v>
      </c>
      <c r="J85" s="6">
        <v>140.9</v>
      </c>
      <c r="K85" s="6">
        <v>141.30000000000001</v>
      </c>
      <c r="L85" s="6">
        <v>141.80000000000001</v>
      </c>
      <c r="M85" s="6">
        <v>142</v>
      </c>
      <c r="N85" s="6">
        <v>141.9</v>
      </c>
    </row>
    <row r="86" spans="1:14">
      <c r="A86" s="2">
        <v>0</v>
      </c>
      <c r="B86" s="5" t="s">
        <v>97</v>
      </c>
      <c r="C86" s="6">
        <v>142.6</v>
      </c>
      <c r="D86" s="6">
        <v>143.1</v>
      </c>
      <c r="E86" s="6">
        <v>143.6</v>
      </c>
      <c r="F86" s="6">
        <v>144</v>
      </c>
      <c r="G86" s="6">
        <v>144.19999999999999</v>
      </c>
      <c r="H86" s="6">
        <v>144.4</v>
      </c>
      <c r="I86" s="6">
        <v>144.4</v>
      </c>
      <c r="J86" s="6">
        <v>144.80000000000001</v>
      </c>
      <c r="K86" s="6">
        <v>145.1</v>
      </c>
      <c r="L86" s="6">
        <v>145.69999999999999</v>
      </c>
      <c r="M86" s="6">
        <v>145.80000000000001</v>
      </c>
      <c r="N86" s="6">
        <v>145.80000000000001</v>
      </c>
    </row>
    <row r="87" spans="1:14">
      <c r="A87" s="2">
        <v>0</v>
      </c>
      <c r="B87" s="5" t="s">
        <v>98</v>
      </c>
      <c r="C87" s="6">
        <v>146.19999999999999</v>
      </c>
      <c r="D87" s="6">
        <v>146.69999999999999</v>
      </c>
      <c r="E87" s="6">
        <v>147.19999999999999</v>
      </c>
      <c r="F87" s="6">
        <v>147.4</v>
      </c>
      <c r="G87" s="6">
        <v>147.5</v>
      </c>
      <c r="H87" s="6">
        <v>148</v>
      </c>
      <c r="I87" s="6">
        <v>148.4</v>
      </c>
      <c r="J87" s="6">
        <v>149</v>
      </c>
      <c r="K87" s="6">
        <v>149.4</v>
      </c>
      <c r="L87" s="6">
        <v>149.5</v>
      </c>
      <c r="M87" s="6">
        <v>149.69999999999999</v>
      </c>
      <c r="N87" s="6">
        <v>149.69999999999999</v>
      </c>
    </row>
    <row r="88" spans="1:14">
      <c r="A88" s="2">
        <v>0</v>
      </c>
      <c r="B88" s="5" t="s">
        <v>99</v>
      </c>
      <c r="C88" s="6">
        <v>150.30000000000001</v>
      </c>
      <c r="D88" s="6">
        <v>150.9</v>
      </c>
      <c r="E88" s="6">
        <v>151.4</v>
      </c>
      <c r="F88" s="6">
        <v>151.9</v>
      </c>
      <c r="G88" s="6">
        <v>152.19999999999999</v>
      </c>
      <c r="H88" s="6">
        <v>152.5</v>
      </c>
      <c r="I88" s="6">
        <v>152.5</v>
      </c>
      <c r="J88" s="6">
        <v>152.9</v>
      </c>
      <c r="K88" s="6">
        <v>153.19999999999999</v>
      </c>
      <c r="L88" s="6">
        <v>153.69999999999999</v>
      </c>
      <c r="M88" s="6">
        <v>153.6</v>
      </c>
      <c r="N88" s="6">
        <v>153.5</v>
      </c>
    </row>
    <row r="89" spans="1:14">
      <c r="A89" s="2">
        <v>0</v>
      </c>
      <c r="B89" s="5" t="s">
        <v>100</v>
      </c>
      <c r="C89" s="6">
        <v>154.4</v>
      </c>
      <c r="D89" s="6">
        <v>154.9</v>
      </c>
      <c r="E89" s="6">
        <v>155.69999999999999</v>
      </c>
      <c r="F89" s="6">
        <v>156.30000000000001</v>
      </c>
      <c r="G89" s="6">
        <v>156.6</v>
      </c>
      <c r="H89" s="6">
        <v>156.69999999999999</v>
      </c>
      <c r="I89" s="6">
        <v>157</v>
      </c>
      <c r="J89" s="6">
        <v>157.30000000000001</v>
      </c>
      <c r="K89" s="6">
        <v>157.80000000000001</v>
      </c>
      <c r="L89" s="6">
        <v>158.30000000000001</v>
      </c>
      <c r="M89" s="6">
        <v>158.6</v>
      </c>
      <c r="N89" s="6">
        <v>158.6</v>
      </c>
    </row>
    <row r="90" spans="1:14">
      <c r="A90" s="2">
        <v>0</v>
      </c>
      <c r="B90" s="5" t="s">
        <v>101</v>
      </c>
      <c r="C90" s="6">
        <v>159.1</v>
      </c>
      <c r="D90" s="6">
        <v>159.6</v>
      </c>
      <c r="E90" s="6">
        <v>160</v>
      </c>
      <c r="F90" s="6">
        <v>160.19999999999999</v>
      </c>
      <c r="G90" s="6">
        <v>160.1</v>
      </c>
      <c r="H90" s="6">
        <v>160.30000000000001</v>
      </c>
      <c r="I90" s="6">
        <v>160.5</v>
      </c>
      <c r="J90" s="6">
        <v>160.80000000000001</v>
      </c>
      <c r="K90" s="6">
        <v>161.19999999999999</v>
      </c>
      <c r="L90" s="6">
        <v>161.6</v>
      </c>
      <c r="M90" s="6">
        <v>161.5</v>
      </c>
      <c r="N90" s="6">
        <v>161.30000000000001</v>
      </c>
    </row>
    <row r="91" spans="1:14">
      <c r="A91" s="2">
        <v>0</v>
      </c>
      <c r="B91" s="5" t="s">
        <v>102</v>
      </c>
      <c r="C91" s="6">
        <v>161.6</v>
      </c>
      <c r="D91" s="6">
        <v>161.9</v>
      </c>
      <c r="E91" s="6">
        <v>162.19999999999999</v>
      </c>
      <c r="F91" s="6">
        <v>162.5</v>
      </c>
      <c r="G91" s="6">
        <v>162.80000000000001</v>
      </c>
      <c r="H91" s="6">
        <v>163</v>
      </c>
      <c r="I91" s="6">
        <v>163.19999999999999</v>
      </c>
      <c r="J91" s="6">
        <v>163.4</v>
      </c>
      <c r="K91" s="6">
        <v>163.6</v>
      </c>
      <c r="L91" s="6">
        <v>164</v>
      </c>
      <c r="M91" s="6">
        <v>164</v>
      </c>
      <c r="N91" s="6">
        <v>163.9</v>
      </c>
    </row>
    <row r="92" spans="1:14">
      <c r="A92" s="2">
        <v>0</v>
      </c>
      <c r="B92" s="5" t="s">
        <v>103</v>
      </c>
      <c r="C92" s="6">
        <v>164.3</v>
      </c>
      <c r="D92" s="6">
        <v>164.5</v>
      </c>
      <c r="E92" s="6">
        <v>165</v>
      </c>
      <c r="F92" s="6">
        <v>166.2</v>
      </c>
      <c r="G92" s="6">
        <v>166.2</v>
      </c>
      <c r="H92" s="6">
        <v>166.2</v>
      </c>
      <c r="I92" s="6">
        <v>166.7</v>
      </c>
      <c r="J92" s="6">
        <v>167.1</v>
      </c>
      <c r="K92" s="6">
        <v>167.9</v>
      </c>
      <c r="L92" s="6">
        <v>168.2</v>
      </c>
      <c r="M92" s="6">
        <v>168.3</v>
      </c>
      <c r="N92" s="6">
        <v>168.3</v>
      </c>
    </row>
    <row r="93" spans="1:14">
      <c r="A93" s="2">
        <v>0</v>
      </c>
      <c r="B93" s="5" t="s">
        <v>104</v>
      </c>
      <c r="C93" s="6">
        <v>168.8</v>
      </c>
      <c r="D93" s="6">
        <v>169.8</v>
      </c>
      <c r="E93" s="6">
        <v>171.2</v>
      </c>
      <c r="F93" s="6">
        <v>171.3</v>
      </c>
      <c r="G93" s="6">
        <v>171.5</v>
      </c>
      <c r="H93" s="6">
        <v>172.4</v>
      </c>
      <c r="I93" s="6">
        <v>172.8</v>
      </c>
      <c r="J93" s="6">
        <v>172.8</v>
      </c>
      <c r="K93" s="6">
        <v>173.7</v>
      </c>
      <c r="L93" s="6">
        <v>174</v>
      </c>
      <c r="M93" s="6">
        <v>174.1</v>
      </c>
      <c r="N93" s="6">
        <v>174</v>
      </c>
    </row>
    <row r="94" spans="1:14">
      <c r="A94" s="2">
        <v>0</v>
      </c>
      <c r="B94" s="5" t="s">
        <v>105</v>
      </c>
      <c r="C94" s="6">
        <v>175.1</v>
      </c>
      <c r="D94" s="6">
        <v>175.8</v>
      </c>
      <c r="E94" s="6">
        <v>176.2</v>
      </c>
      <c r="F94" s="6">
        <v>176.9</v>
      </c>
      <c r="G94" s="6">
        <v>177.7</v>
      </c>
      <c r="H94" s="6">
        <v>178</v>
      </c>
      <c r="I94" s="6">
        <v>177.5</v>
      </c>
      <c r="J94" s="6">
        <v>177.5</v>
      </c>
      <c r="K94" s="6">
        <v>178.3</v>
      </c>
      <c r="L94" s="6">
        <v>177.7</v>
      </c>
      <c r="M94" s="6">
        <v>177.4</v>
      </c>
      <c r="N94" s="6">
        <v>176.7</v>
      </c>
    </row>
    <row r="95" spans="1:14">
      <c r="A95" s="2">
        <v>0</v>
      </c>
      <c r="B95" s="5" t="s">
        <v>106</v>
      </c>
      <c r="C95" s="6">
        <v>177.1</v>
      </c>
      <c r="D95" s="6">
        <v>177.8</v>
      </c>
      <c r="E95" s="6">
        <v>178.8</v>
      </c>
      <c r="F95" s="6">
        <v>179.8</v>
      </c>
      <c r="G95" s="6">
        <v>179.8</v>
      </c>
      <c r="H95" s="6">
        <v>179.9</v>
      </c>
      <c r="I95" s="6">
        <v>180.1</v>
      </c>
      <c r="J95" s="6">
        <v>180.7</v>
      </c>
      <c r="K95" s="6">
        <v>181</v>
      </c>
      <c r="L95" s="6">
        <v>181.3</v>
      </c>
      <c r="M95" s="6">
        <v>181.3</v>
      </c>
      <c r="N95" s="6">
        <v>180.9</v>
      </c>
    </row>
    <row r="96" spans="1:14">
      <c r="A96" s="2">
        <v>0</v>
      </c>
      <c r="B96" s="5" t="s">
        <v>107</v>
      </c>
      <c r="C96" s="6">
        <v>181.7</v>
      </c>
      <c r="D96" s="6">
        <v>183.1</v>
      </c>
      <c r="E96" s="6">
        <v>184.2</v>
      </c>
      <c r="F96" s="6">
        <v>183.8</v>
      </c>
      <c r="G96" s="6">
        <v>183.5</v>
      </c>
      <c r="H96" s="6">
        <v>183.7</v>
      </c>
      <c r="I96" s="6">
        <v>183.9</v>
      </c>
      <c r="J96" s="6">
        <v>184.6</v>
      </c>
      <c r="K96" s="6">
        <v>185.2</v>
      </c>
      <c r="L96" s="6">
        <v>185</v>
      </c>
      <c r="M96" s="6">
        <v>184.5</v>
      </c>
      <c r="N96" s="6">
        <v>184.3</v>
      </c>
    </row>
    <row r="97" spans="1:14">
      <c r="A97" s="2">
        <v>0</v>
      </c>
      <c r="B97" s="5" t="s">
        <v>108</v>
      </c>
      <c r="C97" s="6">
        <v>185.2</v>
      </c>
      <c r="D97" s="6">
        <v>186.2</v>
      </c>
      <c r="E97" s="6">
        <v>187.4</v>
      </c>
      <c r="F97" s="6">
        <v>188</v>
      </c>
      <c r="G97" s="6">
        <v>189.1</v>
      </c>
      <c r="H97" s="6">
        <v>189.7</v>
      </c>
      <c r="I97" s="6">
        <v>189.4</v>
      </c>
      <c r="J97" s="6">
        <v>189.5</v>
      </c>
      <c r="K97" s="6">
        <v>189.9</v>
      </c>
      <c r="L97" s="6">
        <v>190.9</v>
      </c>
      <c r="M97" s="6">
        <v>191</v>
      </c>
      <c r="N97" s="6">
        <v>190.3</v>
      </c>
    </row>
    <row r="98" spans="1:14">
      <c r="A98" s="2">
        <v>0</v>
      </c>
      <c r="B98" s="5" t="s">
        <v>109</v>
      </c>
      <c r="C98" s="6">
        <v>190.7</v>
      </c>
      <c r="D98" s="6">
        <v>191.8</v>
      </c>
      <c r="E98" s="6">
        <v>193.3</v>
      </c>
      <c r="F98" s="6">
        <v>194.6</v>
      </c>
      <c r="G98" s="6">
        <v>194.4</v>
      </c>
      <c r="H98" s="6">
        <v>194.5</v>
      </c>
      <c r="I98" s="6">
        <v>195.4</v>
      </c>
      <c r="J98" s="6">
        <v>196.4</v>
      </c>
      <c r="K98" s="6">
        <v>198.8</v>
      </c>
      <c r="L98" s="6">
        <v>199.2</v>
      </c>
      <c r="M98" s="6">
        <v>197.6</v>
      </c>
      <c r="N98" s="6">
        <v>196.8</v>
      </c>
    </row>
    <row r="99" spans="1:14">
      <c r="A99" s="2">
        <v>0</v>
      </c>
      <c r="B99" s="5" t="s">
        <v>110</v>
      </c>
      <c r="C99" s="6">
        <v>198.3</v>
      </c>
      <c r="D99" s="6">
        <v>198.7</v>
      </c>
      <c r="E99" s="6">
        <v>199.8</v>
      </c>
      <c r="F99" s="6">
        <v>201.5</v>
      </c>
      <c r="G99" s="6">
        <v>202.5</v>
      </c>
      <c r="H99" s="6">
        <v>202.9</v>
      </c>
      <c r="I99" s="6">
        <v>203.5</v>
      </c>
      <c r="J99" s="6">
        <v>203.9</v>
      </c>
      <c r="K99" s="6">
        <v>202.9</v>
      </c>
      <c r="L99" s="6">
        <v>201.8</v>
      </c>
      <c r="M99" s="6">
        <v>201.5</v>
      </c>
      <c r="N99" s="6">
        <v>201.8</v>
      </c>
    </row>
    <row r="100" spans="1:14">
      <c r="A100" s="2">
        <v>0</v>
      </c>
      <c r="B100" s="5" t="s">
        <v>111</v>
      </c>
      <c r="C100" s="7">
        <v>202.416</v>
      </c>
      <c r="D100" s="7">
        <v>203.499</v>
      </c>
      <c r="E100" s="7">
        <v>205.352</v>
      </c>
      <c r="F100" s="7">
        <v>206.68600000000001</v>
      </c>
      <c r="G100" s="7">
        <v>207.94900000000001</v>
      </c>
      <c r="H100" s="7">
        <v>208.352</v>
      </c>
      <c r="I100" s="7">
        <v>208.29900000000001</v>
      </c>
      <c r="J100" s="7">
        <v>207.917</v>
      </c>
      <c r="K100" s="7">
        <v>208.49</v>
      </c>
      <c r="L100" s="7">
        <v>208.93600000000001</v>
      </c>
      <c r="M100" s="7">
        <v>210.17699999999999</v>
      </c>
      <c r="N100" s="7">
        <v>210.036</v>
      </c>
    </row>
    <row r="101" spans="1:14">
      <c r="A101" s="2">
        <v>0</v>
      </c>
      <c r="B101" s="5" t="s">
        <v>112</v>
      </c>
      <c r="C101" s="7">
        <v>211.08</v>
      </c>
      <c r="D101" s="7">
        <v>211.69300000000001</v>
      </c>
      <c r="E101" s="7">
        <v>213.52799999999999</v>
      </c>
      <c r="F101" s="7">
        <v>214.82300000000001</v>
      </c>
      <c r="G101" s="7">
        <v>216.63200000000001</v>
      </c>
      <c r="H101" s="7">
        <v>218.815</v>
      </c>
      <c r="I101" s="7">
        <v>219.964</v>
      </c>
      <c r="J101" s="7">
        <v>219.08600000000001</v>
      </c>
      <c r="K101" s="7">
        <v>218.78299999999999</v>
      </c>
      <c r="L101" s="7">
        <v>216.57300000000001</v>
      </c>
      <c r="M101" s="7">
        <v>212.42500000000001</v>
      </c>
      <c r="N101" s="7">
        <v>210.22800000000001</v>
      </c>
    </row>
    <row r="102" spans="1:14">
      <c r="A102" s="2">
        <v>0</v>
      </c>
      <c r="B102" s="5" t="s">
        <v>113</v>
      </c>
      <c r="C102" s="7">
        <v>211.143</v>
      </c>
      <c r="D102" s="7">
        <v>212.19300000000001</v>
      </c>
      <c r="E102" s="7">
        <v>212.709</v>
      </c>
      <c r="F102" s="7">
        <v>213.24</v>
      </c>
      <c r="G102" s="7">
        <v>213.85599999999999</v>
      </c>
      <c r="H102" s="7">
        <v>215.69300000000001</v>
      </c>
      <c r="I102" s="7">
        <v>215.351</v>
      </c>
      <c r="J102" s="7">
        <v>215.834</v>
      </c>
      <c r="K102" s="7">
        <v>215.96899999999999</v>
      </c>
      <c r="L102" s="7">
        <v>216.17699999999999</v>
      </c>
      <c r="M102" s="7">
        <v>216.33</v>
      </c>
      <c r="N102" s="7">
        <v>215.94900000000001</v>
      </c>
    </row>
    <row r="103" spans="1:14">
      <c r="A103" s="2">
        <v>0</v>
      </c>
      <c r="B103" s="5" t="s">
        <v>114</v>
      </c>
      <c r="C103" s="7">
        <v>216.68700000000001</v>
      </c>
      <c r="D103" s="7">
        <v>216.74100000000001</v>
      </c>
      <c r="E103" s="7">
        <v>217.631</v>
      </c>
      <c r="F103" s="7">
        <v>218.00899999999999</v>
      </c>
      <c r="G103" s="7">
        <v>218.178</v>
      </c>
      <c r="H103" s="7">
        <v>217.965</v>
      </c>
      <c r="I103" s="7">
        <v>218.011</v>
      </c>
      <c r="J103" s="7">
        <v>218.31200000000001</v>
      </c>
      <c r="K103" s="7">
        <v>218.43899999999999</v>
      </c>
      <c r="L103" s="7">
        <v>218.71100000000001</v>
      </c>
      <c r="M103" s="7">
        <v>218.803</v>
      </c>
      <c r="N103" s="7">
        <v>219.179</v>
      </c>
    </row>
    <row r="104" spans="1:14">
      <c r="A104" s="2">
        <v>0</v>
      </c>
      <c r="B104" s="5" t="s">
        <v>115</v>
      </c>
      <c r="C104" s="7">
        <v>220.22300000000001</v>
      </c>
      <c r="D104" s="7">
        <v>221.309</v>
      </c>
      <c r="E104" s="7">
        <v>223.46700000000001</v>
      </c>
      <c r="F104" s="7">
        <v>224.90600000000001</v>
      </c>
      <c r="G104" s="7">
        <v>225.964</v>
      </c>
      <c r="H104" s="7">
        <v>225.72200000000001</v>
      </c>
      <c r="I104" s="7">
        <v>225.922</v>
      </c>
      <c r="J104" s="7">
        <v>226.54499999999999</v>
      </c>
      <c r="K104" s="7">
        <v>226.88900000000001</v>
      </c>
      <c r="L104" s="7">
        <v>226.42099999999999</v>
      </c>
      <c r="M104" s="7">
        <v>226.23</v>
      </c>
      <c r="N104" s="7">
        <v>225.672</v>
      </c>
    </row>
    <row r="105" spans="1:14">
      <c r="A105" s="2">
        <v>0</v>
      </c>
      <c r="B105" s="5" t="s">
        <v>116</v>
      </c>
      <c r="C105" s="7">
        <v>226.66499999999999</v>
      </c>
      <c r="D105" s="7">
        <v>227.66300000000001</v>
      </c>
      <c r="E105" s="7">
        <v>229.392</v>
      </c>
      <c r="F105" s="7">
        <v>230.08500000000001</v>
      </c>
      <c r="G105" s="7">
        <v>229.815</v>
      </c>
      <c r="H105" s="7">
        <v>229.47800000000001</v>
      </c>
      <c r="I105" s="7">
        <v>229.10400000000001</v>
      </c>
      <c r="J105" s="7">
        <v>230.37899999999999</v>
      </c>
      <c r="K105" s="7">
        <v>231.40700000000001</v>
      </c>
      <c r="L105" s="7">
        <v>231.31700000000001</v>
      </c>
      <c r="M105" s="7">
        <v>230.221</v>
      </c>
      <c r="N105" s="7">
        <v>229.601</v>
      </c>
    </row>
    <row r="106" spans="1:14">
      <c r="A106" s="2">
        <v>0</v>
      </c>
      <c r="B106" s="5" t="s">
        <v>117</v>
      </c>
      <c r="C106" s="7">
        <v>230.28</v>
      </c>
      <c r="D106" s="7">
        <v>232.166</v>
      </c>
      <c r="E106" s="7">
        <v>232.773</v>
      </c>
      <c r="F106" s="7">
        <v>232.53100000000001</v>
      </c>
      <c r="G106" s="7">
        <v>232.94499999999999</v>
      </c>
      <c r="H106" s="7">
        <v>233.50399999999999</v>
      </c>
      <c r="I106" s="7">
        <v>233.596</v>
      </c>
      <c r="J106" s="7">
        <v>233.87700000000001</v>
      </c>
      <c r="K106" s="7">
        <v>234.149</v>
      </c>
      <c r="L106" s="7">
        <v>233.54599999999999</v>
      </c>
      <c r="M106" s="7">
        <v>233.06899999999999</v>
      </c>
      <c r="N106" s="7">
        <v>233.04900000000001</v>
      </c>
    </row>
    <row r="107" spans="1:14">
      <c r="A107" s="2">
        <v>0</v>
      </c>
      <c r="B107" s="5" t="s">
        <v>118</v>
      </c>
      <c r="C107" s="7">
        <v>233.916</v>
      </c>
      <c r="D107" s="7">
        <v>234.78100000000001</v>
      </c>
      <c r="E107" s="7">
        <v>236.29300000000001</v>
      </c>
      <c r="F107" s="7">
        <v>237.072</v>
      </c>
      <c r="G107" s="7">
        <v>237.9</v>
      </c>
      <c r="H107" s="7">
        <v>238.34299999999999</v>
      </c>
      <c r="I107" s="7">
        <v>238.25</v>
      </c>
      <c r="J107" s="7">
        <v>237.852</v>
      </c>
      <c r="K107" s="7">
        <v>238.03100000000001</v>
      </c>
      <c r="L107" s="7">
        <v>237.43299999999999</v>
      </c>
      <c r="M107" s="7">
        <v>236.15100000000001</v>
      </c>
      <c r="N107" s="7">
        <v>234.81200000000001</v>
      </c>
    </row>
    <row r="108" spans="1:14">
      <c r="A108" s="2">
        <v>0</v>
      </c>
      <c r="B108" s="5" t="s">
        <v>119</v>
      </c>
      <c r="C108" s="7">
        <v>233.70699999999999</v>
      </c>
      <c r="D108" s="7">
        <v>234.72200000000001</v>
      </c>
      <c r="E108" s="7">
        <v>236.119</v>
      </c>
      <c r="F108" s="7">
        <v>236.59899999999999</v>
      </c>
      <c r="G108" s="7">
        <v>237.80500000000001</v>
      </c>
      <c r="H108" s="7">
        <v>238.63800000000001</v>
      </c>
      <c r="I108" s="7">
        <v>238.654</v>
      </c>
      <c r="J108" s="7">
        <v>238.316</v>
      </c>
      <c r="K108" s="7">
        <v>237.94499999999999</v>
      </c>
      <c r="L108" s="7">
        <v>237.83799999999999</v>
      </c>
      <c r="M108" s="7">
        <v>237.33600000000001</v>
      </c>
      <c r="N108" s="7">
        <v>236.52500000000001</v>
      </c>
    </row>
    <row r="109" spans="1:14">
      <c r="A109" s="2">
        <v>0</v>
      </c>
      <c r="B109" s="5" t="s">
        <v>120</v>
      </c>
      <c r="C109" s="7">
        <v>236.916</v>
      </c>
      <c r="D109" s="7">
        <v>237.11099999999999</v>
      </c>
      <c r="E109" s="7">
        <v>238.13200000000001</v>
      </c>
      <c r="F109" s="7">
        <v>239.261</v>
      </c>
      <c r="G109" s="7">
        <v>240.22900000000001</v>
      </c>
      <c r="H109" s="7">
        <v>241.018</v>
      </c>
      <c r="I109" s="7">
        <v>240.62799999999999</v>
      </c>
      <c r="J109" s="7">
        <v>240.84899999999999</v>
      </c>
      <c r="K109" s="7">
        <v>241.428</v>
      </c>
      <c r="L109" s="7">
        <v>241.72900000000001</v>
      </c>
      <c r="M109" s="7">
        <v>241.35300000000001</v>
      </c>
      <c r="N109" s="7">
        <v>241.43199999999999</v>
      </c>
    </row>
    <row r="110" spans="1:14">
      <c r="A110" s="2">
        <v>0</v>
      </c>
      <c r="B110" s="5" t="s">
        <v>121</v>
      </c>
      <c r="C110" s="7">
        <v>242.839</v>
      </c>
      <c r="D110" s="7">
        <v>243.60300000000001</v>
      </c>
      <c r="E110" s="7">
        <v>243.80099999999999</v>
      </c>
      <c r="F110" s="7">
        <v>244.524</v>
      </c>
      <c r="G110" s="7">
        <v>244.733</v>
      </c>
      <c r="H110" s="7">
        <v>244.95500000000001</v>
      </c>
      <c r="I110" s="7">
        <v>244.786</v>
      </c>
      <c r="J110" s="7">
        <v>245.51900000000001</v>
      </c>
      <c r="K110" s="7">
        <v>246.81899999999999</v>
      </c>
      <c r="L110" s="7">
        <v>246.66300000000001</v>
      </c>
      <c r="M110" s="7">
        <v>246.66900000000001</v>
      </c>
      <c r="N110" s="7">
        <v>246.524</v>
      </c>
    </row>
    <row r="111" spans="1:14">
      <c r="A111" s="2">
        <v>0</v>
      </c>
      <c r="B111" s="5" t="s">
        <v>122</v>
      </c>
      <c r="C111" s="7">
        <v>247.86699999999999</v>
      </c>
      <c r="D111" s="7">
        <v>248.99100000000001</v>
      </c>
      <c r="E111" s="7">
        <v>249.554</v>
      </c>
      <c r="F111" s="7">
        <v>250.54599999999999</v>
      </c>
      <c r="G111" s="7">
        <v>251.58799999999999</v>
      </c>
      <c r="H111" s="7">
        <v>251.989</v>
      </c>
      <c r="I111" s="7">
        <v>252.006</v>
      </c>
      <c r="J111" s="7">
        <v>252.14599999999999</v>
      </c>
      <c r="K111" s="7">
        <v>252.43899999999999</v>
      </c>
      <c r="L111" s="7">
        <v>252.88499999999999</v>
      </c>
      <c r="M111" s="7">
        <v>252.03800000000001</v>
      </c>
      <c r="N111" s="7">
        <v>251.233</v>
      </c>
    </row>
    <row r="112" spans="1:14">
      <c r="A112" s="2">
        <v>0</v>
      </c>
      <c r="B112" s="5" t="s">
        <v>123</v>
      </c>
      <c r="C112" s="7">
        <v>251.71199999999999</v>
      </c>
      <c r="D112" s="7">
        <v>252.77600000000001</v>
      </c>
      <c r="E112" s="7">
        <v>254.202</v>
      </c>
      <c r="F112" s="7">
        <v>255.548</v>
      </c>
      <c r="G112" s="7">
        <v>256.09199999999998</v>
      </c>
      <c r="H112" s="7">
        <v>256.14299999999997</v>
      </c>
      <c r="I112" s="7">
        <v>256.57100000000003</v>
      </c>
      <c r="J112" s="7">
        <v>256.55799999999999</v>
      </c>
      <c r="K112" s="7">
        <v>256.75900000000001</v>
      </c>
      <c r="L112" s="7">
        <v>257.346</v>
      </c>
      <c r="M112" s="7">
        <v>257.20800000000003</v>
      </c>
      <c r="N112" s="7">
        <v>256.97399999999999</v>
      </c>
    </row>
    <row r="113" spans="1:14">
      <c r="A113" s="2">
        <v>0</v>
      </c>
      <c r="B113" s="5" t="s">
        <v>124</v>
      </c>
      <c r="C113" s="7">
        <v>257.971</v>
      </c>
      <c r="D113" s="7">
        <v>258.678</v>
      </c>
      <c r="E113" s="7">
        <v>258.11500000000001</v>
      </c>
      <c r="F113" s="7">
        <v>256.38900000000001</v>
      </c>
      <c r="G113" s="7">
        <v>256.39400000000001</v>
      </c>
      <c r="H113" s="7">
        <v>257.79700000000003</v>
      </c>
      <c r="I113" s="7">
        <v>259.101</v>
      </c>
      <c r="J113" s="7">
        <v>259.91800000000001</v>
      </c>
      <c r="K113" s="7">
        <v>260.27999999999997</v>
      </c>
      <c r="L113" s="7">
        <v>260.38799999999998</v>
      </c>
      <c r="M113" s="7">
        <v>260.22899999999998</v>
      </c>
      <c r="N113" s="7">
        <v>260.47399999999999</v>
      </c>
    </row>
    <row r="114" spans="1:14">
      <c r="A114" s="2">
        <v>0</v>
      </c>
      <c r="B114" s="5" t="s">
        <v>125</v>
      </c>
      <c r="C114" s="7">
        <v>261.58199999999999</v>
      </c>
      <c r="D114" s="7">
        <v>263.01400000000001</v>
      </c>
      <c r="E114" s="7">
        <v>264.87700000000001</v>
      </c>
      <c r="F114" s="7">
        <v>267.05399999999997</v>
      </c>
      <c r="G114" s="7">
        <v>269.19499999999999</v>
      </c>
      <c r="H114" s="7">
        <v>271.69600000000003</v>
      </c>
      <c r="I114" s="7">
        <v>273.00299999999999</v>
      </c>
      <c r="J114" s="7">
        <v>273.56700000000001</v>
      </c>
      <c r="K114" s="7">
        <v>274.31</v>
      </c>
      <c r="L114" s="7">
        <v>276.589</v>
      </c>
      <c r="M114" s="7">
        <v>277.94799999999998</v>
      </c>
      <c r="N114" s="7">
        <v>278.80200000000002</v>
      </c>
    </row>
    <row r="115" spans="1:14">
      <c r="A115" s="2">
        <v>0</v>
      </c>
      <c r="B115" s="5" t="s">
        <v>126</v>
      </c>
      <c r="C115" s="7">
        <v>281.14800000000002</v>
      </c>
      <c r="D115" s="7">
        <v>283.71600000000001</v>
      </c>
      <c r="E115" s="7">
        <v>287.50400000000002</v>
      </c>
      <c r="F115" s="7">
        <v>289.10899999999998</v>
      </c>
      <c r="G115" s="7">
        <v>292.29599999999999</v>
      </c>
      <c r="H115" s="7">
        <v>296.31099999999998</v>
      </c>
      <c r="I115" s="7">
        <v>296.27600000000001</v>
      </c>
      <c r="J115" s="7">
        <v>296.17099999999999</v>
      </c>
      <c r="K115" s="7">
        <v>296.80799999999999</v>
      </c>
      <c r="L115" s="7">
        <v>298.012</v>
      </c>
      <c r="M115" s="7">
        <v>297.71100000000001</v>
      </c>
      <c r="N115" s="7">
        <v>296.79700000000003</v>
      </c>
    </row>
    <row r="116" spans="1:14">
      <c r="A116" s="2">
        <v>0</v>
      </c>
      <c r="B116" s="5" t="s">
        <v>127</v>
      </c>
      <c r="C116" s="7">
        <v>299.17</v>
      </c>
      <c r="D116" s="7">
        <v>300.83999999999997</v>
      </c>
      <c r="E116" s="7">
        <v>301.83600000000001</v>
      </c>
      <c r="F116" s="7">
        <v>303.363</v>
      </c>
      <c r="G116" s="7">
        <v>304.12700000000001</v>
      </c>
      <c r="H116" s="7">
        <v>305.10899999999998</v>
      </c>
      <c r="I116" s="7">
        <v>305.69099999999997</v>
      </c>
      <c r="J116" s="7">
        <v>307.02600000000001</v>
      </c>
      <c r="K116" s="7">
        <v>307.78899999999999</v>
      </c>
      <c r="L116" s="7">
        <v>307.67099999999999</v>
      </c>
      <c r="M116" s="7">
        <v>307.05099999999999</v>
      </c>
      <c r="N116" s="7">
        <v>306.74599999999998</v>
      </c>
    </row>
    <row r="117" spans="1:14">
      <c r="A117" s="2">
        <v>0</v>
      </c>
      <c r="B117" s="5" t="s">
        <v>128</v>
      </c>
      <c r="C117" s="7">
        <v>308.41699999999997</v>
      </c>
      <c r="D117" s="7">
        <v>310.32600000000002</v>
      </c>
      <c r="E117" s="7">
        <v>312.33199999999999</v>
      </c>
      <c r="F117" s="7">
        <v>313.548</v>
      </c>
      <c r="G117" s="7">
        <v>314.06900000000002</v>
      </c>
      <c r="H117" s="7">
        <v>314.17500000000001</v>
      </c>
      <c r="I117" s="7">
        <v>314.54000000000002</v>
      </c>
      <c r="J117" s="7">
        <v>314.79599999999999</v>
      </c>
      <c r="K117" s="7">
        <v>315.30099999999999</v>
      </c>
      <c r="L117" s="7">
        <v>315.66399999999999</v>
      </c>
      <c r="M117" s="7">
        <v>315.49299999999999</v>
      </c>
      <c r="N117" s="7">
        <v>315.60500000000002</v>
      </c>
    </row>
    <row r="118" spans="1:14">
      <c r="A118" s="2">
        <v>0</v>
      </c>
      <c r="B118" s="5" t="s">
        <v>129</v>
      </c>
      <c r="C118" s="7">
        <v>317.67099999999999</v>
      </c>
      <c r="D118" s="7">
        <v>319.08199999999999</v>
      </c>
      <c r="E118" s="7">
        <v>319.79899999999998</v>
      </c>
      <c r="F118" s="7">
        <v>320.79500000000002</v>
      </c>
      <c r="G118" s="7">
        <v>321.46499999999997</v>
      </c>
      <c r="H118" s="7">
        <v>322.56099999999998</v>
      </c>
      <c r="I118" s="7">
        <v>323.048</v>
      </c>
      <c r="J118" s="7">
        <v>323.976</v>
      </c>
      <c r="K118" s="7">
        <v>324.8</v>
      </c>
      <c r="L118" s="4" t="s">
        <v>130</v>
      </c>
      <c r="M118" s="7">
        <v>324.12200000000001</v>
      </c>
      <c r="N118" s="7">
        <v>324.05399999999997</v>
      </c>
    </row>
    <row r="119" spans="1:14">
      <c r="A119" s="2">
        <v>0</v>
      </c>
      <c r="B119" s="5" t="s">
        <v>131</v>
      </c>
      <c r="C119" s="7">
        <v>325.25200000000001</v>
      </c>
      <c r="D119" s="7">
        <v>326.78500000000003</v>
      </c>
      <c r="E119" s="7">
        <v>330.21300000000002</v>
      </c>
      <c r="F119" s="7">
        <v>333.02</v>
      </c>
      <c r="G119" s="7">
        <v>335.12299999999999</v>
      </c>
      <c r="H119" s="7">
        <v>333.952</v>
      </c>
      <c r="I119" s="7">
        <v>333.91800000000001</v>
      </c>
      <c r="J119" s="7">
        <v>334.98</v>
      </c>
      <c r="K119" s="4" t="s">
        <v>130</v>
      </c>
      <c r="L119" s="4" t="s">
        <v>130</v>
      </c>
      <c r="M119" s="4" t="s">
        <v>130</v>
      </c>
      <c r="N119" s="4" t="s">
        <v>130</v>
      </c>
    </row>
    <row r="120" spans="1:14">
      <c r="A120" s="1" t="s">
        <v>0</v>
      </c>
      <c r="B120" s="1" t="s">
        <v>0</v>
      </c>
    </row>
    <row r="121" spans="1:14" ht="28.9">
      <c r="A121" s="1" t="s">
        <v>0</v>
      </c>
      <c r="B121" s="8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D49D-FE75-4FD5-8584-7310AE67D84F}">
  <dimension ref="A1:M47"/>
  <sheetViews>
    <sheetView workbookViewId="0">
      <selection activeCell="I4" sqref="I4"/>
    </sheetView>
  </sheetViews>
  <sheetFormatPr defaultRowHeight="14.45"/>
  <cols>
    <col min="1" max="1" width="6.5703125" customWidth="1"/>
    <col min="2" max="13" width="7.5703125" bestFit="1" customWidth="1"/>
  </cols>
  <sheetData>
    <row r="1" spans="1:1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5" t="s">
        <v>86</v>
      </c>
      <c r="B2" s="6">
        <v>94.3</v>
      </c>
      <c r="C2" s="6">
        <v>94.6</v>
      </c>
      <c r="D2" s="6">
        <v>94.5</v>
      </c>
      <c r="E2" s="6">
        <v>94.9</v>
      </c>
      <c r="F2" s="6">
        <v>95.8</v>
      </c>
      <c r="G2" s="6">
        <v>97</v>
      </c>
      <c r="H2" s="6">
        <v>97.5</v>
      </c>
      <c r="I2" s="6">
        <v>97.7</v>
      </c>
      <c r="J2" s="6">
        <v>97.9</v>
      </c>
      <c r="K2" s="6">
        <v>98.2</v>
      </c>
      <c r="L2" s="6">
        <v>98</v>
      </c>
      <c r="M2" s="6">
        <v>97.6</v>
      </c>
    </row>
    <row r="3" spans="1:13">
      <c r="A3" s="5" t="s">
        <v>87</v>
      </c>
      <c r="B3" s="6">
        <v>97.8</v>
      </c>
      <c r="C3" s="6">
        <v>97.9</v>
      </c>
      <c r="D3" s="6">
        <v>97.9</v>
      </c>
      <c r="E3" s="6">
        <v>98.6</v>
      </c>
      <c r="F3" s="6">
        <v>99.2</v>
      </c>
      <c r="G3" s="6">
        <v>99.5</v>
      </c>
      <c r="H3" s="6">
        <v>99.9</v>
      </c>
      <c r="I3" s="6">
        <v>100.2</v>
      </c>
      <c r="J3" s="6">
        <v>100.7</v>
      </c>
      <c r="K3" s="6">
        <v>101</v>
      </c>
      <c r="L3" s="6">
        <v>101.2</v>
      </c>
      <c r="M3" s="6">
        <v>101.3</v>
      </c>
    </row>
    <row r="4" spans="1:13">
      <c r="A4" s="5" t="s">
        <v>88</v>
      </c>
      <c r="B4" s="6">
        <v>101.9</v>
      </c>
      <c r="C4" s="6">
        <v>102.4</v>
      </c>
      <c r="D4" s="6">
        <v>102.6</v>
      </c>
      <c r="E4" s="6">
        <v>103.1</v>
      </c>
      <c r="F4" s="6">
        <v>103.4</v>
      </c>
      <c r="G4" s="6">
        <v>103.7</v>
      </c>
      <c r="H4" s="6">
        <v>104.1</v>
      </c>
      <c r="I4" s="6">
        <v>104.5</v>
      </c>
      <c r="J4" s="6">
        <v>105</v>
      </c>
      <c r="K4" s="6">
        <v>105.3</v>
      </c>
      <c r="L4" s="6">
        <v>105.3</v>
      </c>
      <c r="M4" s="6">
        <v>105.3</v>
      </c>
    </row>
    <row r="5" spans="1:13">
      <c r="A5" s="5" t="s">
        <v>89</v>
      </c>
      <c r="B5" s="6">
        <v>105.5</v>
      </c>
      <c r="C5" s="6">
        <v>106</v>
      </c>
      <c r="D5" s="6">
        <v>106.4</v>
      </c>
      <c r="E5" s="6">
        <v>106.9</v>
      </c>
      <c r="F5" s="6">
        <v>107.3</v>
      </c>
      <c r="G5" s="6">
        <v>107.6</v>
      </c>
      <c r="H5" s="6">
        <v>107.8</v>
      </c>
      <c r="I5" s="6">
        <v>108</v>
      </c>
      <c r="J5" s="6">
        <v>108.3</v>
      </c>
      <c r="K5" s="6">
        <v>108.7</v>
      </c>
      <c r="L5" s="6">
        <v>109</v>
      </c>
      <c r="M5" s="6">
        <v>109.3</v>
      </c>
    </row>
    <row r="6" spans="1:13">
      <c r="A6" s="5" t="s">
        <v>90</v>
      </c>
      <c r="B6" s="6">
        <v>109.6</v>
      </c>
      <c r="C6" s="6">
        <v>109.3</v>
      </c>
      <c r="D6" s="6">
        <v>108.8</v>
      </c>
      <c r="E6" s="6">
        <v>108.6</v>
      </c>
      <c r="F6" s="6">
        <v>108.9</v>
      </c>
      <c r="G6" s="6">
        <v>109.5</v>
      </c>
      <c r="H6" s="6">
        <v>109.5</v>
      </c>
      <c r="I6" s="6">
        <v>109.7</v>
      </c>
      <c r="J6" s="6">
        <v>110.2</v>
      </c>
      <c r="K6" s="6">
        <v>110.3</v>
      </c>
      <c r="L6" s="6">
        <v>110.4</v>
      </c>
      <c r="M6" s="6">
        <v>110.5</v>
      </c>
    </row>
    <row r="7" spans="1:13">
      <c r="A7" s="5" t="s">
        <v>91</v>
      </c>
      <c r="B7" s="6">
        <v>111.2</v>
      </c>
      <c r="C7" s="6">
        <v>111.6</v>
      </c>
      <c r="D7" s="6">
        <v>112.1</v>
      </c>
      <c r="E7" s="6">
        <v>112.7</v>
      </c>
      <c r="F7" s="6">
        <v>113.1</v>
      </c>
      <c r="G7" s="6">
        <v>113.5</v>
      </c>
      <c r="H7" s="6">
        <v>113.8</v>
      </c>
      <c r="I7" s="6">
        <v>114.4</v>
      </c>
      <c r="J7" s="6">
        <v>115</v>
      </c>
      <c r="K7" s="6">
        <v>115.3</v>
      </c>
      <c r="L7" s="6">
        <v>115.4</v>
      </c>
      <c r="M7" s="6">
        <v>115.4</v>
      </c>
    </row>
    <row r="8" spans="1:13">
      <c r="A8" s="5" t="s">
        <v>92</v>
      </c>
      <c r="B8" s="6">
        <v>115.7</v>
      </c>
      <c r="C8" s="6">
        <v>116</v>
      </c>
      <c r="D8" s="6">
        <v>116.5</v>
      </c>
      <c r="E8" s="6">
        <v>117.1</v>
      </c>
      <c r="F8" s="6">
        <v>117.5</v>
      </c>
      <c r="G8" s="6">
        <v>118</v>
      </c>
      <c r="H8" s="6">
        <v>118.5</v>
      </c>
      <c r="I8" s="6">
        <v>119</v>
      </c>
      <c r="J8" s="6">
        <v>119.8</v>
      </c>
      <c r="K8" s="6">
        <v>120.2</v>
      </c>
      <c r="L8" s="6">
        <v>120.3</v>
      </c>
      <c r="M8" s="6">
        <v>120.5</v>
      </c>
    </row>
    <row r="9" spans="1:13">
      <c r="A9" s="5" t="s">
        <v>93</v>
      </c>
      <c r="B9" s="6">
        <v>121.1</v>
      </c>
      <c r="C9" s="6">
        <v>121.6</v>
      </c>
      <c r="D9" s="6">
        <v>122.3</v>
      </c>
      <c r="E9" s="6">
        <v>123.1</v>
      </c>
      <c r="F9" s="6">
        <v>123.8</v>
      </c>
      <c r="G9" s="6">
        <v>124.1</v>
      </c>
      <c r="H9" s="6">
        <v>124.4</v>
      </c>
      <c r="I9" s="6">
        <v>124.6</v>
      </c>
      <c r="J9" s="6">
        <v>125</v>
      </c>
      <c r="K9" s="6">
        <v>125.6</v>
      </c>
      <c r="L9" s="6">
        <v>125.9</v>
      </c>
      <c r="M9" s="6">
        <v>126.1</v>
      </c>
    </row>
    <row r="10" spans="1:13">
      <c r="A10" s="5" t="s">
        <v>94</v>
      </c>
      <c r="B10" s="6">
        <v>127.4</v>
      </c>
      <c r="C10" s="6">
        <v>128</v>
      </c>
      <c r="D10" s="6">
        <v>128.69999999999999</v>
      </c>
      <c r="E10" s="6">
        <v>128.9</v>
      </c>
      <c r="F10" s="6">
        <v>129.19999999999999</v>
      </c>
      <c r="G10" s="6">
        <v>129.9</v>
      </c>
      <c r="H10" s="6">
        <v>130.4</v>
      </c>
      <c r="I10" s="6">
        <v>131.6</v>
      </c>
      <c r="J10" s="6">
        <v>132.69999999999999</v>
      </c>
      <c r="K10" s="6">
        <v>133.5</v>
      </c>
      <c r="L10" s="6">
        <v>133.80000000000001</v>
      </c>
      <c r="M10" s="6">
        <v>133.80000000000001</v>
      </c>
    </row>
    <row r="11" spans="1:13">
      <c r="A11" s="5" t="s">
        <v>95</v>
      </c>
      <c r="B11" s="6">
        <v>134.6</v>
      </c>
      <c r="C11" s="6">
        <v>134.80000000000001</v>
      </c>
      <c r="D11" s="6">
        <v>135</v>
      </c>
      <c r="E11" s="6">
        <v>135.19999999999999</v>
      </c>
      <c r="F11" s="6">
        <v>135.6</v>
      </c>
      <c r="G11" s="6">
        <v>136</v>
      </c>
      <c r="H11" s="6">
        <v>136.19999999999999</v>
      </c>
      <c r="I11" s="6">
        <v>136.6</v>
      </c>
      <c r="J11" s="6">
        <v>137.19999999999999</v>
      </c>
      <c r="K11" s="6">
        <v>137.4</v>
      </c>
      <c r="L11" s="6">
        <v>137.80000000000001</v>
      </c>
      <c r="M11" s="6">
        <v>137.9</v>
      </c>
    </row>
    <row r="12" spans="1:13">
      <c r="A12" s="5" t="s">
        <v>96</v>
      </c>
      <c r="B12" s="6">
        <v>138.1</v>
      </c>
      <c r="C12" s="6">
        <v>138.6</v>
      </c>
      <c r="D12" s="6">
        <v>139.30000000000001</v>
      </c>
      <c r="E12" s="6">
        <v>139.5</v>
      </c>
      <c r="F12" s="6">
        <v>139.69999999999999</v>
      </c>
      <c r="G12" s="6">
        <v>140.19999999999999</v>
      </c>
      <c r="H12" s="6">
        <v>140.5</v>
      </c>
      <c r="I12" s="6">
        <v>140.9</v>
      </c>
      <c r="J12" s="6">
        <v>141.30000000000001</v>
      </c>
      <c r="K12" s="6">
        <v>141.80000000000001</v>
      </c>
      <c r="L12" s="6">
        <v>142</v>
      </c>
      <c r="M12" s="6">
        <v>141.9</v>
      </c>
    </row>
    <row r="13" spans="1:13">
      <c r="A13" s="5" t="s">
        <v>97</v>
      </c>
      <c r="B13" s="6">
        <v>142.6</v>
      </c>
      <c r="C13" s="6">
        <v>143.1</v>
      </c>
      <c r="D13" s="6">
        <v>143.6</v>
      </c>
      <c r="E13" s="6">
        <v>144</v>
      </c>
      <c r="F13" s="6">
        <v>144.19999999999999</v>
      </c>
      <c r="G13" s="6">
        <v>144.4</v>
      </c>
      <c r="H13" s="6">
        <v>144.4</v>
      </c>
      <c r="I13" s="6">
        <v>144.80000000000001</v>
      </c>
      <c r="J13" s="6">
        <v>145.1</v>
      </c>
      <c r="K13" s="6">
        <v>145.69999999999999</v>
      </c>
      <c r="L13" s="6">
        <v>145.80000000000001</v>
      </c>
      <c r="M13" s="6">
        <v>145.80000000000001</v>
      </c>
    </row>
    <row r="14" spans="1:13">
      <c r="A14" s="5" t="s">
        <v>98</v>
      </c>
      <c r="B14" s="6">
        <v>146.19999999999999</v>
      </c>
      <c r="C14" s="6">
        <v>146.69999999999999</v>
      </c>
      <c r="D14" s="6">
        <v>147.19999999999999</v>
      </c>
      <c r="E14" s="6">
        <v>147.4</v>
      </c>
      <c r="F14" s="6">
        <v>147.5</v>
      </c>
      <c r="G14" s="6">
        <v>148</v>
      </c>
      <c r="H14" s="6">
        <v>148.4</v>
      </c>
      <c r="I14" s="6">
        <v>149</v>
      </c>
      <c r="J14" s="6">
        <v>149.4</v>
      </c>
      <c r="K14" s="6">
        <v>149.5</v>
      </c>
      <c r="L14" s="6">
        <v>149.69999999999999</v>
      </c>
      <c r="M14" s="6">
        <v>149.69999999999999</v>
      </c>
    </row>
    <row r="15" spans="1:13">
      <c r="A15" s="5" t="s">
        <v>99</v>
      </c>
      <c r="B15" s="6">
        <v>150.30000000000001</v>
      </c>
      <c r="C15" s="6">
        <v>150.9</v>
      </c>
      <c r="D15" s="6">
        <v>151.4</v>
      </c>
      <c r="E15" s="6">
        <v>151.9</v>
      </c>
      <c r="F15" s="6">
        <v>152.19999999999999</v>
      </c>
      <c r="G15" s="6">
        <v>152.5</v>
      </c>
      <c r="H15" s="6">
        <v>152.5</v>
      </c>
      <c r="I15" s="6">
        <v>152.9</v>
      </c>
      <c r="J15" s="6">
        <v>153.19999999999999</v>
      </c>
      <c r="K15" s="6">
        <v>153.69999999999999</v>
      </c>
      <c r="L15" s="6">
        <v>153.6</v>
      </c>
      <c r="M15" s="6">
        <v>153.5</v>
      </c>
    </row>
    <row r="16" spans="1:13">
      <c r="A16" s="5" t="s">
        <v>100</v>
      </c>
      <c r="B16" s="6">
        <v>154.4</v>
      </c>
      <c r="C16" s="6">
        <v>154.9</v>
      </c>
      <c r="D16" s="6">
        <v>155.69999999999999</v>
      </c>
      <c r="E16" s="6">
        <v>156.30000000000001</v>
      </c>
      <c r="F16" s="6">
        <v>156.6</v>
      </c>
      <c r="G16" s="6">
        <v>156.69999999999999</v>
      </c>
      <c r="H16" s="6">
        <v>157</v>
      </c>
      <c r="I16" s="6">
        <v>157.30000000000001</v>
      </c>
      <c r="J16" s="6">
        <v>157.80000000000001</v>
      </c>
      <c r="K16" s="6">
        <v>158.30000000000001</v>
      </c>
      <c r="L16" s="6">
        <v>158.6</v>
      </c>
      <c r="M16" s="6">
        <v>158.6</v>
      </c>
    </row>
    <row r="17" spans="1:13">
      <c r="A17" s="5" t="s">
        <v>101</v>
      </c>
      <c r="B17" s="6">
        <v>159.1</v>
      </c>
      <c r="C17" s="6">
        <v>159.6</v>
      </c>
      <c r="D17" s="6">
        <v>160</v>
      </c>
      <c r="E17" s="6">
        <v>160.19999999999999</v>
      </c>
      <c r="F17" s="6">
        <v>160.1</v>
      </c>
      <c r="G17" s="6">
        <v>160.30000000000001</v>
      </c>
      <c r="H17" s="6">
        <v>160.5</v>
      </c>
      <c r="I17" s="6">
        <v>160.80000000000001</v>
      </c>
      <c r="J17" s="6">
        <v>161.19999999999999</v>
      </c>
      <c r="K17" s="6">
        <v>161.6</v>
      </c>
      <c r="L17" s="6">
        <v>161.5</v>
      </c>
      <c r="M17" s="6">
        <v>161.30000000000001</v>
      </c>
    </row>
    <row r="18" spans="1:13">
      <c r="A18" s="5" t="s">
        <v>102</v>
      </c>
      <c r="B18" s="6">
        <v>161.6</v>
      </c>
      <c r="C18" s="6">
        <v>161.9</v>
      </c>
      <c r="D18" s="6">
        <v>162.19999999999999</v>
      </c>
      <c r="E18" s="6">
        <v>162.5</v>
      </c>
      <c r="F18" s="6">
        <v>162.80000000000001</v>
      </c>
      <c r="G18" s="6">
        <v>163</v>
      </c>
      <c r="H18" s="6">
        <v>163.19999999999999</v>
      </c>
      <c r="I18" s="6">
        <v>163.4</v>
      </c>
      <c r="J18" s="6">
        <v>163.6</v>
      </c>
      <c r="K18" s="6">
        <v>164</v>
      </c>
      <c r="L18" s="6">
        <v>164</v>
      </c>
      <c r="M18" s="6">
        <v>163.9</v>
      </c>
    </row>
    <row r="19" spans="1:13">
      <c r="A19" s="5" t="s">
        <v>103</v>
      </c>
      <c r="B19" s="6">
        <v>164.3</v>
      </c>
      <c r="C19" s="6">
        <v>164.5</v>
      </c>
      <c r="D19" s="6">
        <v>165</v>
      </c>
      <c r="E19" s="6">
        <v>166.2</v>
      </c>
      <c r="F19" s="6">
        <v>166.2</v>
      </c>
      <c r="G19" s="6">
        <v>166.2</v>
      </c>
      <c r="H19" s="6">
        <v>166.7</v>
      </c>
      <c r="I19" s="6">
        <v>167.1</v>
      </c>
      <c r="J19" s="6">
        <v>167.9</v>
      </c>
      <c r="K19" s="6">
        <v>168.2</v>
      </c>
      <c r="L19" s="6">
        <v>168.3</v>
      </c>
      <c r="M19" s="6">
        <v>168.3</v>
      </c>
    </row>
    <row r="20" spans="1:13">
      <c r="A20" s="5" t="s">
        <v>104</v>
      </c>
      <c r="B20" s="6">
        <v>168.8</v>
      </c>
      <c r="C20" s="6">
        <v>169.8</v>
      </c>
      <c r="D20" s="6">
        <v>171.2</v>
      </c>
      <c r="E20" s="6">
        <v>171.3</v>
      </c>
      <c r="F20" s="6">
        <v>171.5</v>
      </c>
      <c r="G20" s="6">
        <v>172.4</v>
      </c>
      <c r="H20" s="6">
        <v>172.8</v>
      </c>
      <c r="I20" s="6">
        <v>172.8</v>
      </c>
      <c r="J20" s="6">
        <v>173.7</v>
      </c>
      <c r="K20" s="6">
        <v>174</v>
      </c>
      <c r="L20" s="6">
        <v>174.1</v>
      </c>
      <c r="M20" s="6">
        <v>174</v>
      </c>
    </row>
    <row r="21" spans="1:13">
      <c r="A21" s="5" t="s">
        <v>105</v>
      </c>
      <c r="B21" s="6">
        <v>175.1</v>
      </c>
      <c r="C21" s="6">
        <v>175.8</v>
      </c>
      <c r="D21" s="6">
        <v>176.2</v>
      </c>
      <c r="E21" s="6">
        <v>176.9</v>
      </c>
      <c r="F21" s="6">
        <v>177.7</v>
      </c>
      <c r="G21" s="6">
        <v>178</v>
      </c>
      <c r="H21" s="6">
        <v>177.5</v>
      </c>
      <c r="I21" s="6">
        <v>177.5</v>
      </c>
      <c r="J21" s="6">
        <v>178.3</v>
      </c>
      <c r="K21" s="6">
        <v>177.7</v>
      </c>
      <c r="L21" s="6">
        <v>177.4</v>
      </c>
      <c r="M21" s="6">
        <v>176.7</v>
      </c>
    </row>
    <row r="22" spans="1:13">
      <c r="A22" s="5" t="s">
        <v>106</v>
      </c>
      <c r="B22" s="6">
        <v>177.1</v>
      </c>
      <c r="C22" s="6">
        <v>177.8</v>
      </c>
      <c r="D22" s="6">
        <v>178.8</v>
      </c>
      <c r="E22" s="6">
        <v>179.8</v>
      </c>
      <c r="F22" s="6">
        <v>179.8</v>
      </c>
      <c r="G22" s="6">
        <v>179.9</v>
      </c>
      <c r="H22" s="6">
        <v>180.1</v>
      </c>
      <c r="I22" s="6">
        <v>180.7</v>
      </c>
      <c r="J22" s="6">
        <v>181</v>
      </c>
      <c r="K22" s="6">
        <v>181.3</v>
      </c>
      <c r="L22" s="6">
        <v>181.3</v>
      </c>
      <c r="M22" s="6">
        <v>180.9</v>
      </c>
    </row>
    <row r="23" spans="1:13">
      <c r="A23" s="5" t="s">
        <v>107</v>
      </c>
      <c r="B23" s="6">
        <v>181.7</v>
      </c>
      <c r="C23" s="6">
        <v>183.1</v>
      </c>
      <c r="D23" s="6">
        <v>184.2</v>
      </c>
      <c r="E23" s="6">
        <v>183.8</v>
      </c>
      <c r="F23" s="6">
        <v>183.5</v>
      </c>
      <c r="G23" s="6">
        <v>183.7</v>
      </c>
      <c r="H23" s="6">
        <v>183.9</v>
      </c>
      <c r="I23" s="6">
        <v>184.6</v>
      </c>
      <c r="J23" s="6">
        <v>185.2</v>
      </c>
      <c r="K23" s="6">
        <v>185</v>
      </c>
      <c r="L23" s="6">
        <v>184.5</v>
      </c>
      <c r="M23" s="6">
        <v>184.3</v>
      </c>
    </row>
    <row r="24" spans="1:13">
      <c r="A24" s="5" t="s">
        <v>108</v>
      </c>
      <c r="B24" s="6">
        <v>185.2</v>
      </c>
      <c r="C24" s="6">
        <v>186.2</v>
      </c>
      <c r="D24" s="6">
        <v>187.4</v>
      </c>
      <c r="E24" s="6">
        <v>188</v>
      </c>
      <c r="F24" s="6">
        <v>189.1</v>
      </c>
      <c r="G24" s="6">
        <v>189.7</v>
      </c>
      <c r="H24" s="6">
        <v>189.4</v>
      </c>
      <c r="I24" s="6">
        <v>189.5</v>
      </c>
      <c r="J24" s="6">
        <v>189.9</v>
      </c>
      <c r="K24" s="6">
        <v>190.9</v>
      </c>
      <c r="L24" s="6">
        <v>191</v>
      </c>
      <c r="M24" s="6">
        <v>190.3</v>
      </c>
    </row>
    <row r="25" spans="1:13">
      <c r="A25" s="5" t="s">
        <v>109</v>
      </c>
      <c r="B25" s="6">
        <v>190.7</v>
      </c>
      <c r="C25" s="6">
        <v>191.8</v>
      </c>
      <c r="D25" s="6">
        <v>193.3</v>
      </c>
      <c r="E25" s="6">
        <v>194.6</v>
      </c>
      <c r="F25" s="6">
        <v>194.4</v>
      </c>
      <c r="G25" s="6">
        <v>194.5</v>
      </c>
      <c r="H25" s="6">
        <v>195.4</v>
      </c>
      <c r="I25" s="6">
        <v>196.4</v>
      </c>
      <c r="J25" s="6">
        <v>198.8</v>
      </c>
      <c r="K25" s="6">
        <v>199.2</v>
      </c>
      <c r="L25" s="6">
        <v>197.6</v>
      </c>
      <c r="M25" s="6">
        <v>196.8</v>
      </c>
    </row>
    <row r="26" spans="1:13">
      <c r="A26" s="5" t="s">
        <v>110</v>
      </c>
      <c r="B26" s="6">
        <v>198.3</v>
      </c>
      <c r="C26" s="6">
        <v>198.7</v>
      </c>
      <c r="D26" s="6">
        <v>199.8</v>
      </c>
      <c r="E26" s="6">
        <v>201.5</v>
      </c>
      <c r="F26" s="6">
        <v>202.5</v>
      </c>
      <c r="G26" s="6">
        <v>202.9</v>
      </c>
      <c r="H26" s="6">
        <v>203.5</v>
      </c>
      <c r="I26" s="6">
        <v>203.9</v>
      </c>
      <c r="J26" s="6">
        <v>202.9</v>
      </c>
      <c r="K26" s="6">
        <v>201.8</v>
      </c>
      <c r="L26" s="6">
        <v>201.5</v>
      </c>
      <c r="M26" s="6">
        <v>201.8</v>
      </c>
    </row>
    <row r="27" spans="1:13">
      <c r="A27" s="5" t="s">
        <v>111</v>
      </c>
      <c r="B27" s="9">
        <v>202.416</v>
      </c>
      <c r="C27" s="9">
        <v>203.499</v>
      </c>
      <c r="D27" s="9">
        <v>205.352</v>
      </c>
      <c r="E27" s="9">
        <v>206.68600000000001</v>
      </c>
      <c r="F27" s="9">
        <v>207.94900000000001</v>
      </c>
      <c r="G27" s="9">
        <v>208.352</v>
      </c>
      <c r="H27" s="9">
        <v>208.29900000000001</v>
      </c>
      <c r="I27" s="9">
        <v>207.917</v>
      </c>
      <c r="J27" s="9">
        <v>208.49</v>
      </c>
      <c r="K27" s="9">
        <v>208.93600000000001</v>
      </c>
      <c r="L27" s="9">
        <v>210.17699999999999</v>
      </c>
      <c r="M27" s="9">
        <v>210.036</v>
      </c>
    </row>
    <row r="28" spans="1:13">
      <c r="A28" s="5" t="s">
        <v>112</v>
      </c>
      <c r="B28" s="9">
        <v>211.08</v>
      </c>
      <c r="C28" s="9">
        <v>211.69300000000001</v>
      </c>
      <c r="D28" s="9">
        <v>213.52799999999999</v>
      </c>
      <c r="E28" s="9">
        <v>214.82300000000001</v>
      </c>
      <c r="F28" s="9">
        <v>216.63200000000001</v>
      </c>
      <c r="G28" s="9">
        <v>218.815</v>
      </c>
      <c r="H28" s="9">
        <v>219.964</v>
      </c>
      <c r="I28" s="9">
        <v>219.08600000000001</v>
      </c>
      <c r="J28" s="9">
        <v>218.78299999999999</v>
      </c>
      <c r="K28" s="9">
        <v>216.57300000000001</v>
      </c>
      <c r="L28" s="9">
        <v>212.42500000000001</v>
      </c>
      <c r="M28" s="9">
        <v>210.22800000000001</v>
      </c>
    </row>
    <row r="29" spans="1:13">
      <c r="A29" s="5" t="s">
        <v>113</v>
      </c>
      <c r="B29" s="9">
        <v>211.143</v>
      </c>
      <c r="C29" s="9">
        <v>212.19300000000001</v>
      </c>
      <c r="D29" s="9">
        <v>212.709</v>
      </c>
      <c r="E29" s="9">
        <v>213.24</v>
      </c>
      <c r="F29" s="9">
        <v>213.85599999999999</v>
      </c>
      <c r="G29" s="9">
        <v>215.69300000000001</v>
      </c>
      <c r="H29" s="9">
        <v>215.351</v>
      </c>
      <c r="I29" s="9">
        <v>215.834</v>
      </c>
      <c r="J29" s="9">
        <v>215.96899999999999</v>
      </c>
      <c r="K29" s="9">
        <v>216.17699999999999</v>
      </c>
      <c r="L29" s="9">
        <v>216.33</v>
      </c>
      <c r="M29" s="9">
        <v>215.94900000000001</v>
      </c>
    </row>
    <row r="30" spans="1:13">
      <c r="A30" s="5" t="s">
        <v>114</v>
      </c>
      <c r="B30" s="9">
        <v>216.68700000000001</v>
      </c>
      <c r="C30" s="9">
        <v>216.74100000000001</v>
      </c>
      <c r="D30" s="9">
        <v>217.631</v>
      </c>
      <c r="E30" s="9">
        <v>218.00899999999999</v>
      </c>
      <c r="F30" s="9">
        <v>218.178</v>
      </c>
      <c r="G30" s="9">
        <v>217.965</v>
      </c>
      <c r="H30" s="9">
        <v>218.011</v>
      </c>
      <c r="I30" s="9">
        <v>218.31200000000001</v>
      </c>
      <c r="J30" s="9">
        <v>218.43899999999999</v>
      </c>
      <c r="K30" s="9">
        <v>218.71100000000001</v>
      </c>
      <c r="L30" s="9">
        <v>218.803</v>
      </c>
      <c r="M30" s="9">
        <v>219.179</v>
      </c>
    </row>
    <row r="31" spans="1:13">
      <c r="A31" s="5" t="s">
        <v>115</v>
      </c>
      <c r="B31" s="9">
        <v>220.22300000000001</v>
      </c>
      <c r="C31" s="9">
        <v>221.309</v>
      </c>
      <c r="D31" s="9">
        <v>223.46700000000001</v>
      </c>
      <c r="E31" s="9">
        <v>224.90600000000001</v>
      </c>
      <c r="F31" s="9">
        <v>225.964</v>
      </c>
      <c r="G31" s="9">
        <v>225.72200000000001</v>
      </c>
      <c r="H31" s="9">
        <v>225.922</v>
      </c>
      <c r="I31" s="9">
        <v>226.54499999999999</v>
      </c>
      <c r="J31" s="9">
        <v>226.88900000000001</v>
      </c>
      <c r="K31" s="9">
        <v>226.42099999999999</v>
      </c>
      <c r="L31" s="9">
        <v>226.23</v>
      </c>
      <c r="M31" s="9">
        <v>225.672</v>
      </c>
    </row>
    <row r="32" spans="1:13">
      <c r="A32" s="5" t="s">
        <v>116</v>
      </c>
      <c r="B32" s="9">
        <v>226.66499999999999</v>
      </c>
      <c r="C32" s="9">
        <v>227.66300000000001</v>
      </c>
      <c r="D32" s="9">
        <v>229.392</v>
      </c>
      <c r="E32" s="9">
        <v>230.08500000000001</v>
      </c>
      <c r="F32" s="9">
        <v>229.815</v>
      </c>
      <c r="G32" s="9">
        <v>229.47800000000001</v>
      </c>
      <c r="H32" s="9">
        <v>229.10400000000001</v>
      </c>
      <c r="I32" s="9">
        <v>230.37899999999999</v>
      </c>
      <c r="J32" s="9">
        <v>231.40700000000001</v>
      </c>
      <c r="K32" s="9">
        <v>231.31700000000001</v>
      </c>
      <c r="L32" s="9">
        <v>230.221</v>
      </c>
      <c r="M32" s="9">
        <v>229.601</v>
      </c>
    </row>
    <row r="33" spans="1:13">
      <c r="A33" s="5" t="s">
        <v>117</v>
      </c>
      <c r="B33" s="9">
        <v>230.28</v>
      </c>
      <c r="C33" s="9">
        <v>232.166</v>
      </c>
      <c r="D33" s="9">
        <v>232.773</v>
      </c>
      <c r="E33" s="9">
        <v>232.53100000000001</v>
      </c>
      <c r="F33" s="9">
        <v>232.94499999999999</v>
      </c>
      <c r="G33" s="9">
        <v>233.50399999999999</v>
      </c>
      <c r="H33" s="9">
        <v>233.596</v>
      </c>
      <c r="I33" s="9">
        <v>233.87700000000001</v>
      </c>
      <c r="J33" s="9">
        <v>234.149</v>
      </c>
      <c r="K33" s="9">
        <v>233.54599999999999</v>
      </c>
      <c r="L33" s="9">
        <v>233.06899999999999</v>
      </c>
      <c r="M33" s="9">
        <v>233.04900000000001</v>
      </c>
    </row>
    <row r="34" spans="1:13">
      <c r="A34" s="5" t="s">
        <v>118</v>
      </c>
      <c r="B34" s="9">
        <v>233.916</v>
      </c>
      <c r="C34" s="9">
        <v>234.78100000000001</v>
      </c>
      <c r="D34" s="9">
        <v>236.29300000000001</v>
      </c>
      <c r="E34" s="9">
        <v>237.072</v>
      </c>
      <c r="F34" s="9">
        <v>237.9</v>
      </c>
      <c r="G34" s="9">
        <v>238.34299999999999</v>
      </c>
      <c r="H34" s="9">
        <v>238.25</v>
      </c>
      <c r="I34" s="9">
        <v>237.852</v>
      </c>
      <c r="J34" s="9">
        <v>238.03100000000001</v>
      </c>
      <c r="K34" s="9">
        <v>237.43299999999999</v>
      </c>
      <c r="L34" s="9">
        <v>236.15100000000001</v>
      </c>
      <c r="M34" s="9">
        <v>234.81200000000001</v>
      </c>
    </row>
    <row r="35" spans="1:13">
      <c r="A35" s="5" t="s">
        <v>119</v>
      </c>
      <c r="B35" s="9">
        <v>233.70699999999999</v>
      </c>
      <c r="C35" s="9">
        <v>234.72200000000001</v>
      </c>
      <c r="D35" s="9">
        <v>236.119</v>
      </c>
      <c r="E35" s="9">
        <v>236.59899999999999</v>
      </c>
      <c r="F35" s="9">
        <v>237.80500000000001</v>
      </c>
      <c r="G35" s="9">
        <v>238.63800000000001</v>
      </c>
      <c r="H35" s="9">
        <v>238.654</v>
      </c>
      <c r="I35" s="9">
        <v>238.316</v>
      </c>
      <c r="J35" s="9">
        <v>237.94499999999999</v>
      </c>
      <c r="K35" s="9">
        <v>237.83799999999999</v>
      </c>
      <c r="L35" s="9">
        <v>237.33600000000001</v>
      </c>
      <c r="M35" s="9">
        <v>236.52500000000001</v>
      </c>
    </row>
    <row r="36" spans="1:13">
      <c r="A36" s="5" t="s">
        <v>120</v>
      </c>
      <c r="B36" s="9">
        <v>236.916</v>
      </c>
      <c r="C36" s="9">
        <v>237.11099999999999</v>
      </c>
      <c r="D36" s="9">
        <v>238.13200000000001</v>
      </c>
      <c r="E36" s="9">
        <v>239.261</v>
      </c>
      <c r="F36" s="9">
        <v>240.22900000000001</v>
      </c>
      <c r="G36" s="9">
        <v>241.018</v>
      </c>
      <c r="H36" s="9">
        <v>240.62799999999999</v>
      </c>
      <c r="I36" s="9">
        <v>240.84899999999999</v>
      </c>
      <c r="J36" s="9">
        <v>241.428</v>
      </c>
      <c r="K36" s="9">
        <v>241.72900000000001</v>
      </c>
      <c r="L36" s="9">
        <v>241.35300000000001</v>
      </c>
      <c r="M36" s="9">
        <v>241.43199999999999</v>
      </c>
    </row>
    <row r="37" spans="1:13">
      <c r="A37" s="5" t="s">
        <v>121</v>
      </c>
      <c r="B37" s="9">
        <v>242.839</v>
      </c>
      <c r="C37" s="9">
        <v>243.60300000000001</v>
      </c>
      <c r="D37" s="9">
        <v>243.80099999999999</v>
      </c>
      <c r="E37" s="9">
        <v>244.524</v>
      </c>
      <c r="F37" s="9">
        <v>244.733</v>
      </c>
      <c r="G37" s="9">
        <v>244.95500000000001</v>
      </c>
      <c r="H37" s="9">
        <v>244.786</v>
      </c>
      <c r="I37" s="9">
        <v>245.51900000000001</v>
      </c>
      <c r="J37" s="9">
        <v>246.81899999999999</v>
      </c>
      <c r="K37" s="9">
        <v>246.66300000000001</v>
      </c>
      <c r="L37" s="9">
        <v>246.66900000000001</v>
      </c>
      <c r="M37" s="9">
        <v>246.524</v>
      </c>
    </row>
    <row r="38" spans="1:13">
      <c r="A38" s="5" t="s">
        <v>122</v>
      </c>
      <c r="B38" s="9">
        <v>247.86699999999999</v>
      </c>
      <c r="C38" s="9">
        <v>248.99100000000001</v>
      </c>
      <c r="D38" s="9">
        <v>249.554</v>
      </c>
      <c r="E38" s="9">
        <v>250.54599999999999</v>
      </c>
      <c r="F38" s="9">
        <v>251.58799999999999</v>
      </c>
      <c r="G38" s="9">
        <v>251.989</v>
      </c>
      <c r="H38" s="9">
        <v>252.006</v>
      </c>
      <c r="I38" s="9">
        <v>252.14599999999999</v>
      </c>
      <c r="J38" s="9">
        <v>252.43899999999999</v>
      </c>
      <c r="K38" s="9">
        <v>252.88499999999999</v>
      </c>
      <c r="L38" s="9">
        <v>252.03800000000001</v>
      </c>
      <c r="M38" s="9">
        <v>251.233</v>
      </c>
    </row>
    <row r="39" spans="1:13">
      <c r="A39" s="5" t="s">
        <v>123</v>
      </c>
      <c r="B39" s="9">
        <v>251.71199999999999</v>
      </c>
      <c r="C39" s="9">
        <v>252.77600000000001</v>
      </c>
      <c r="D39" s="9">
        <v>254.202</v>
      </c>
      <c r="E39" s="9">
        <v>255.548</v>
      </c>
      <c r="F39" s="9">
        <v>256.09199999999998</v>
      </c>
      <c r="G39" s="9">
        <v>256.14299999999997</v>
      </c>
      <c r="H39" s="9">
        <v>256.57100000000003</v>
      </c>
      <c r="I39" s="9">
        <v>256.55799999999999</v>
      </c>
      <c r="J39" s="9">
        <v>256.75900000000001</v>
      </c>
      <c r="K39" s="9">
        <v>257.346</v>
      </c>
      <c r="L39" s="9">
        <v>257.20800000000003</v>
      </c>
      <c r="M39" s="9">
        <v>256.97399999999999</v>
      </c>
    </row>
    <row r="40" spans="1:13">
      <c r="A40" s="5" t="s">
        <v>124</v>
      </c>
      <c r="B40" s="9">
        <v>257.971</v>
      </c>
      <c r="C40" s="9">
        <v>258.678</v>
      </c>
      <c r="D40" s="9">
        <v>258.11500000000001</v>
      </c>
      <c r="E40" s="9">
        <v>256.38900000000001</v>
      </c>
      <c r="F40" s="9">
        <v>256.39400000000001</v>
      </c>
      <c r="G40" s="9">
        <v>257.79700000000003</v>
      </c>
      <c r="H40" s="9">
        <v>259.101</v>
      </c>
      <c r="I40" s="9">
        <v>259.91800000000001</v>
      </c>
      <c r="J40" s="9">
        <v>260.27999999999997</v>
      </c>
      <c r="K40" s="9">
        <v>260.38799999999998</v>
      </c>
      <c r="L40" s="9">
        <v>260.22899999999998</v>
      </c>
      <c r="M40" s="9">
        <v>260.47399999999999</v>
      </c>
    </row>
    <row r="41" spans="1:13">
      <c r="A41" s="5" t="s">
        <v>125</v>
      </c>
      <c r="B41" s="9">
        <v>261.58199999999999</v>
      </c>
      <c r="C41" s="9">
        <v>263.01400000000001</v>
      </c>
      <c r="D41" s="9">
        <v>264.87700000000001</v>
      </c>
      <c r="E41" s="9">
        <v>267.05399999999997</v>
      </c>
      <c r="F41" s="9">
        <v>269.19499999999999</v>
      </c>
      <c r="G41" s="9">
        <v>271.69600000000003</v>
      </c>
      <c r="H41" s="9">
        <v>273.00299999999999</v>
      </c>
      <c r="I41" s="9">
        <v>273.56700000000001</v>
      </c>
      <c r="J41" s="9">
        <v>274.31</v>
      </c>
      <c r="K41" s="9">
        <v>276.589</v>
      </c>
      <c r="L41" s="9">
        <v>277.94799999999998</v>
      </c>
      <c r="M41" s="9">
        <v>278.80200000000002</v>
      </c>
    </row>
    <row r="42" spans="1:13">
      <c r="A42" s="5" t="s">
        <v>126</v>
      </c>
      <c r="B42" s="9">
        <v>281.14800000000002</v>
      </c>
      <c r="C42" s="9">
        <v>283.71600000000001</v>
      </c>
      <c r="D42" s="9">
        <v>287.50400000000002</v>
      </c>
      <c r="E42" s="9">
        <v>289.10899999999998</v>
      </c>
      <c r="F42" s="9">
        <v>292.29599999999999</v>
      </c>
      <c r="G42" s="9">
        <v>296.31099999999998</v>
      </c>
      <c r="H42" s="9">
        <v>296.27600000000001</v>
      </c>
      <c r="I42" s="9">
        <v>296.17099999999999</v>
      </c>
      <c r="J42" s="9">
        <v>296.80799999999999</v>
      </c>
      <c r="K42" s="9">
        <v>298.012</v>
      </c>
      <c r="L42" s="9">
        <v>297.71100000000001</v>
      </c>
      <c r="M42" s="9">
        <v>296.79700000000003</v>
      </c>
    </row>
    <row r="43" spans="1:13">
      <c r="A43" s="5" t="s">
        <v>127</v>
      </c>
      <c r="B43" s="9">
        <v>299.17</v>
      </c>
      <c r="C43" s="9">
        <v>300.83999999999997</v>
      </c>
      <c r="D43" s="9">
        <v>301.83600000000001</v>
      </c>
      <c r="E43" s="9">
        <v>303.363</v>
      </c>
      <c r="F43" s="9">
        <v>304.12700000000001</v>
      </c>
      <c r="G43" s="9">
        <v>305.10899999999998</v>
      </c>
      <c r="H43" s="9">
        <v>305.69099999999997</v>
      </c>
      <c r="I43" s="9">
        <v>307.02600000000001</v>
      </c>
      <c r="J43" s="9">
        <v>307.78899999999999</v>
      </c>
      <c r="K43" s="9">
        <v>307.67099999999999</v>
      </c>
      <c r="L43" s="9">
        <v>307.05099999999999</v>
      </c>
      <c r="M43" s="9">
        <v>306.74599999999998</v>
      </c>
    </row>
    <row r="44" spans="1:13">
      <c r="A44" s="5" t="s">
        <v>128</v>
      </c>
      <c r="B44" s="9">
        <v>308.41699999999997</v>
      </c>
      <c r="C44" s="9">
        <v>310.32600000000002</v>
      </c>
      <c r="D44" s="9">
        <v>312.33199999999999</v>
      </c>
      <c r="E44" s="9">
        <v>313.548</v>
      </c>
      <c r="F44" s="9">
        <v>314.06900000000002</v>
      </c>
      <c r="G44" s="9">
        <v>314.17500000000001</v>
      </c>
      <c r="H44" s="9">
        <v>314.54000000000002</v>
      </c>
      <c r="I44" s="9">
        <v>314.79599999999999</v>
      </c>
      <c r="J44" s="9">
        <v>315.30099999999999</v>
      </c>
      <c r="K44" s="9">
        <v>315.66399999999999</v>
      </c>
      <c r="L44" s="9">
        <v>315.49299999999999</v>
      </c>
      <c r="M44" s="9">
        <v>315.60500000000002</v>
      </c>
    </row>
    <row r="45" spans="1:13">
      <c r="A45" s="5" t="s">
        <v>129</v>
      </c>
      <c r="B45" s="9">
        <v>317.67099999999999</v>
      </c>
      <c r="C45" s="9">
        <v>319.08199999999999</v>
      </c>
      <c r="D45" s="9">
        <v>319.79899999999998</v>
      </c>
      <c r="E45" s="9">
        <v>320.79500000000002</v>
      </c>
      <c r="F45" s="9">
        <v>321.46499999999997</v>
      </c>
      <c r="G45" s="9">
        <v>322.56099999999998</v>
      </c>
      <c r="H45" s="9">
        <v>323.048</v>
      </c>
      <c r="I45" s="9">
        <v>323.976</v>
      </c>
      <c r="J45" s="9">
        <v>324.8</v>
      </c>
      <c r="K45" s="9"/>
      <c r="L45" s="9">
        <v>324.12200000000001</v>
      </c>
      <c r="M45" s="9">
        <v>324.05399999999997</v>
      </c>
    </row>
    <row r="46" spans="1:13">
      <c r="A46" s="5" t="s">
        <v>131</v>
      </c>
      <c r="B46" s="9">
        <v>325.25200000000001</v>
      </c>
      <c r="C46" s="9">
        <v>326.78500000000003</v>
      </c>
      <c r="D46" s="9">
        <v>330.21300000000002</v>
      </c>
      <c r="E46" s="9">
        <v>333.02</v>
      </c>
      <c r="F46" s="9">
        <v>335.12299999999999</v>
      </c>
      <c r="G46" s="9">
        <v>333.952</v>
      </c>
      <c r="H46" s="9">
        <v>333.91800000000001</v>
      </c>
      <c r="I46" s="9">
        <v>334.98</v>
      </c>
      <c r="J46" s="9"/>
      <c r="K46" s="9"/>
      <c r="L46" s="9"/>
      <c r="M46" s="9"/>
    </row>
    <row r="47" spans="1:13">
      <c r="A47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CB9D-DE1D-4465-A371-FA0A7C4FA732}">
  <dimension ref="A1:B3"/>
  <sheetViews>
    <sheetView workbookViewId="0">
      <selection activeCell="A4" sqref="A4"/>
    </sheetView>
  </sheetViews>
  <sheetFormatPr defaultRowHeight="14.45"/>
  <cols>
    <col min="1" max="1" width="18.42578125" bestFit="1" customWidth="1"/>
  </cols>
  <sheetData>
    <row r="1" spans="1:2">
      <c r="A1" t="s">
        <v>133</v>
      </c>
      <c r="B1">
        <v>5</v>
      </c>
    </row>
    <row r="2" spans="1:2">
      <c r="A2" t="s">
        <v>134</v>
      </c>
      <c r="B2" t="s">
        <v>135</v>
      </c>
    </row>
    <row r="3" spans="1:2">
      <c r="A3" t="s">
        <v>136</v>
      </c>
      <c r="B3">
        <v>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ACE1-763C-4E4E-8649-5BC1D9AC8452}">
  <dimension ref="A1:M46"/>
  <sheetViews>
    <sheetView workbookViewId="0">
      <selection activeCell="O18" sqref="O18"/>
    </sheetView>
  </sheetViews>
  <sheetFormatPr defaultRowHeight="14.45"/>
  <sheetData>
    <row r="1" spans="1:13">
      <c r="A1" t="s">
        <v>4</v>
      </c>
      <c r="B1" t="s">
        <v>137</v>
      </c>
      <c r="C1" t="s">
        <v>138</v>
      </c>
      <c r="D1" t="s">
        <v>139</v>
      </c>
      <c r="F1" t="s">
        <v>140</v>
      </c>
      <c r="G1" t="s">
        <v>137</v>
      </c>
      <c r="H1" t="s">
        <v>141</v>
      </c>
      <c r="I1" t="s">
        <v>139</v>
      </c>
      <c r="K1" t="s">
        <v>142</v>
      </c>
      <c r="L1" s="13" t="s">
        <v>143</v>
      </c>
      <c r="M1">
        <v>1982</v>
      </c>
    </row>
    <row r="2" spans="1:13">
      <c r="A2">
        <v>1982</v>
      </c>
      <c r="B2" s="10">
        <f>AVERAGE(Table1[[#This Row],[Jan.]:[Dec.]])</f>
        <v>96.5</v>
      </c>
      <c r="C2">
        <f>MIN(Table1[[#This Row],[Jan.]:[Dec.]])</f>
        <v>94.3</v>
      </c>
      <c r="D2">
        <f>MAX(Table1[[#This Row],[Jan.]:[Dec.]])</f>
        <v>98.2</v>
      </c>
      <c r="F2" t="s">
        <v>144</v>
      </c>
      <c r="G2" s="10">
        <f>AVERAGE(Table1[Jan.])</f>
        <v>191.7613777777778</v>
      </c>
      <c r="H2" s="10">
        <f>MIN(Table1[Jan.])</f>
        <v>94.3</v>
      </c>
      <c r="I2" s="10">
        <f>MAX(Table1[Jan.])</f>
        <v>325.25200000000001</v>
      </c>
      <c r="K2" t="s">
        <v>145</v>
      </c>
      <c r="L2" s="14" t="s">
        <v>146</v>
      </c>
      <c r="M2">
        <v>2026</v>
      </c>
    </row>
    <row r="3" spans="1:13">
      <c r="A3">
        <v>1983</v>
      </c>
      <c r="B3" s="10">
        <f>AVERAGE(Table1[[#This Row],[Jan.]:[Dec.]])</f>
        <v>99.600000000000009</v>
      </c>
      <c r="C3">
        <f>MIN(Table1[[#This Row],[Jan.]:[Dec.]])</f>
        <v>97.8</v>
      </c>
      <c r="D3">
        <f>MAX(Table1[[#This Row],[Jan.]:[Dec.]])</f>
        <v>101.3</v>
      </c>
      <c r="F3" t="s">
        <v>147</v>
      </c>
      <c r="G3" s="10">
        <f>AVERAGE(Table1[Feb.])</f>
        <v>192.5619777777778</v>
      </c>
      <c r="H3" s="10">
        <f>MIN(Table1[Feb.])</f>
        <v>94.6</v>
      </c>
      <c r="I3" s="10">
        <f>MAX(Table1[Feb.])</f>
        <v>326.78500000000003</v>
      </c>
    </row>
    <row r="4" spans="1:13">
      <c r="A4">
        <v>1984</v>
      </c>
      <c r="B4" s="10">
        <f>AVERAGE(Table1[[#This Row],[Jan.]:[Dec.]])</f>
        <v>103.88333333333333</v>
      </c>
      <c r="C4">
        <f>MIN(Table1[[#This Row],[Jan.]:[Dec.]])</f>
        <v>101.9</v>
      </c>
      <c r="D4">
        <f>MAX(Table1[[#This Row],[Jan.]:[Dec.]])</f>
        <v>105.3</v>
      </c>
      <c r="F4" t="s">
        <v>148</v>
      </c>
      <c r="G4" s="10">
        <f>AVERAGE(Table1[Mar.])</f>
        <v>193.50508888888888</v>
      </c>
      <c r="H4" s="10">
        <f>MIN(Table1[Mar.])</f>
        <v>94.5</v>
      </c>
      <c r="I4" s="10">
        <f>MAX(Table1[Mar.])</f>
        <v>330.21300000000002</v>
      </c>
      <c r="K4" t="s">
        <v>149</v>
      </c>
    </row>
    <row r="5" spans="1:13">
      <c r="A5">
        <v>1985</v>
      </c>
      <c r="B5" s="10">
        <f>AVERAGE(Table1[[#This Row],[Jan.]:[Dec.]])</f>
        <v>107.56666666666665</v>
      </c>
      <c r="C5">
        <f>MIN(Table1[[#This Row],[Jan.]:[Dec.]])</f>
        <v>105.5</v>
      </c>
      <c r="D5">
        <f>MAX(Table1[[#This Row],[Jan.]:[Dec.]])</f>
        <v>109.3</v>
      </c>
      <c r="F5" t="s">
        <v>150</v>
      </c>
      <c r="G5" s="10">
        <f>AVERAGE(Table1[Apr.])</f>
        <v>194.22462222222228</v>
      </c>
      <c r="H5" s="10">
        <f>MIN(Table1[Apr.])</f>
        <v>94.9</v>
      </c>
      <c r="I5" s="10">
        <f>MAX(Table1[Apr.])</f>
        <v>333.02</v>
      </c>
    </row>
    <row r="6" spans="1:13">
      <c r="A6">
        <v>1986</v>
      </c>
      <c r="B6" s="10">
        <f>AVERAGE(Table1[[#This Row],[Jan.]:[Dec.]])</f>
        <v>109.60833333333335</v>
      </c>
      <c r="C6">
        <f>MIN(Table1[[#This Row],[Jan.]:[Dec.]])</f>
        <v>108.6</v>
      </c>
      <c r="D6">
        <f>MAX(Table1[[#This Row],[Jan.]:[Dec.]])</f>
        <v>110.5</v>
      </c>
      <c r="F6" t="s">
        <v>9</v>
      </c>
      <c r="G6" s="10">
        <f>AVERAGE(Table1[May])</f>
        <v>194.84344444444443</v>
      </c>
      <c r="H6" s="10">
        <f>MIN(Table1[May])</f>
        <v>95.8</v>
      </c>
      <c r="I6" s="10">
        <f>MAX(Table1[May])</f>
        <v>335.12299999999999</v>
      </c>
    </row>
    <row r="7" spans="1:13">
      <c r="A7">
        <v>1987</v>
      </c>
      <c r="B7" s="10">
        <f>AVERAGE(Table1[[#This Row],[Jan.]:[Dec.]])</f>
        <v>113.625</v>
      </c>
      <c r="C7">
        <f>MIN(Table1[[#This Row],[Jan.]:[Dec.]])</f>
        <v>111.2</v>
      </c>
      <c r="D7">
        <f>MAX(Table1[[#This Row],[Jan.]:[Dec.]])</f>
        <v>115.4</v>
      </c>
      <c r="F7" t="s">
        <v>151</v>
      </c>
      <c r="G7" s="10">
        <f>AVERAGE(Table1[Jun.])</f>
        <v>195.40924444444443</v>
      </c>
      <c r="H7" s="10">
        <f>MIN(Table1[Jun.])</f>
        <v>97</v>
      </c>
      <c r="I7" s="10">
        <f>MAX(Table1[Jun.])</f>
        <v>333.952</v>
      </c>
    </row>
    <row r="8" spans="1:13">
      <c r="A8">
        <v>1988</v>
      </c>
      <c r="B8" s="10">
        <f>AVERAGE(Table1[[#This Row],[Jan.]:[Dec.]])</f>
        <v>118.25833333333333</v>
      </c>
      <c r="C8">
        <f>MIN(Table1[[#This Row],[Jan.]:[Dec.]])</f>
        <v>115.7</v>
      </c>
      <c r="D8">
        <f>MAX(Table1[[#This Row],[Jan.]:[Dec.]])</f>
        <v>120.5</v>
      </c>
      <c r="F8" t="s">
        <v>152</v>
      </c>
      <c r="G8" s="10">
        <f>AVERAGE(Table1[Jul.])</f>
        <v>195.65820000000002</v>
      </c>
      <c r="H8" s="10">
        <f>MIN(Table1[Jul.])</f>
        <v>97.5</v>
      </c>
      <c r="I8" s="10">
        <f>MAX(Table1[Jul.])</f>
        <v>333.91800000000001</v>
      </c>
      <c r="K8" t="s">
        <v>153</v>
      </c>
    </row>
    <row r="9" spans="1:13">
      <c r="A9">
        <v>1989</v>
      </c>
      <c r="B9" s="10">
        <f>AVERAGE(Table1[[#This Row],[Jan.]:[Dec.]])</f>
        <v>123.96666666666665</v>
      </c>
      <c r="C9">
        <f>MIN(Table1[[#This Row],[Jan.]:[Dec.]])</f>
        <v>121.1</v>
      </c>
      <c r="D9">
        <f>MAX(Table1[[#This Row],[Jan.]:[Dec.]])</f>
        <v>126.1</v>
      </c>
      <c r="F9" t="s">
        <v>154</v>
      </c>
      <c r="G9" s="10">
        <f>AVERAGE(Table1[Aug.])</f>
        <v>196.03386666666665</v>
      </c>
      <c r="H9" s="10">
        <f>MIN(Table1[Aug.])</f>
        <v>97.7</v>
      </c>
      <c r="I9" s="10">
        <f>MAX(Table1[Aug.])</f>
        <v>334.98</v>
      </c>
    </row>
    <row r="10" spans="1:13">
      <c r="A10">
        <v>1990</v>
      </c>
      <c r="B10" s="10">
        <f>AVERAGE(Table1[[#This Row],[Jan.]:[Dec.]])</f>
        <v>130.65833333333333</v>
      </c>
      <c r="C10">
        <f>MIN(Table1[[#This Row],[Jan.]:[Dec.]])</f>
        <v>127.4</v>
      </c>
      <c r="D10">
        <f>MAX(Table1[[#This Row],[Jan.]:[Dec.]])</f>
        <v>133.80000000000001</v>
      </c>
      <c r="F10" t="s">
        <v>155</v>
      </c>
      <c r="G10" s="10">
        <f>AVERAGE(Table1[Sep.])</f>
        <v>193.36215909090913</v>
      </c>
      <c r="H10" s="10">
        <f>MIN(Table1[Sep.])</f>
        <v>97.9</v>
      </c>
      <c r="I10" s="10">
        <f>MAX(Table1[Sep.])</f>
        <v>324.8</v>
      </c>
    </row>
    <row r="11" spans="1:13">
      <c r="A11">
        <v>1991</v>
      </c>
      <c r="B11" s="10">
        <f>AVERAGE(Table1[[#This Row],[Jan.]:[Dec.]])</f>
        <v>136.19166666666666</v>
      </c>
      <c r="C11">
        <f>MIN(Table1[[#This Row],[Jan.]:[Dec.]])</f>
        <v>134.6</v>
      </c>
      <c r="D11">
        <f>MAX(Table1[[#This Row],[Jan.]:[Dec.]])</f>
        <v>137.9</v>
      </c>
      <c r="F11" t="s">
        <v>156</v>
      </c>
      <c r="G11" s="10">
        <f>AVERAGE(Table1[Oct.])</f>
        <v>190.51393023255815</v>
      </c>
      <c r="H11" s="10">
        <f>MIN(Table1[Oct.])</f>
        <v>98.2</v>
      </c>
      <c r="I11" s="10">
        <f>MAX(Table1[Oct.])</f>
        <v>315.66399999999999</v>
      </c>
    </row>
    <row r="12" spans="1:13">
      <c r="A12">
        <v>1992</v>
      </c>
      <c r="B12" s="10">
        <f>AVERAGE(Table1[[#This Row],[Jan.]:[Dec.]])</f>
        <v>140.31666666666669</v>
      </c>
      <c r="C12">
        <f>MIN(Table1[[#This Row],[Jan.]:[Dec.]])</f>
        <v>138.1</v>
      </c>
      <c r="D12">
        <f>MAX(Table1[[#This Row],[Jan.]:[Dec.]])</f>
        <v>142</v>
      </c>
      <c r="F12" t="s">
        <v>157</v>
      </c>
      <c r="G12" s="10">
        <f>AVERAGE(Table1[Nov.])</f>
        <v>193.37645454545455</v>
      </c>
      <c r="H12" s="10">
        <f>MIN(Table1[Nov.])</f>
        <v>98</v>
      </c>
      <c r="I12" s="10">
        <f>MAX(Table1[Nov.])</f>
        <v>324.12200000000001</v>
      </c>
    </row>
    <row r="13" spans="1:13">
      <c r="A13">
        <v>1993</v>
      </c>
      <c r="B13" s="10">
        <f>AVERAGE(Table1[[#This Row],[Jan.]:[Dec.]])</f>
        <v>144.45833333333331</v>
      </c>
      <c r="C13">
        <f>MIN(Table1[[#This Row],[Jan.]:[Dec.]])</f>
        <v>142.6</v>
      </c>
      <c r="D13">
        <f>MAX(Table1[[#This Row],[Jan.]:[Dec.]])</f>
        <v>145.80000000000001</v>
      </c>
      <c r="F13" t="s">
        <v>158</v>
      </c>
      <c r="G13" s="10">
        <f>AVERAGE(Table1[Dec.])</f>
        <v>193.16345454545456</v>
      </c>
      <c r="H13" s="10">
        <f>MIN(Table1[Dec.])</f>
        <v>97.6</v>
      </c>
      <c r="I13" s="10">
        <f>MAX(Table1[Dec.])</f>
        <v>324.05399999999997</v>
      </c>
    </row>
    <row r="14" spans="1:13">
      <c r="A14">
        <v>1994</v>
      </c>
      <c r="B14" s="10">
        <f>AVERAGE(Table1[[#This Row],[Jan.]:[Dec.]])</f>
        <v>148.22500000000002</v>
      </c>
      <c r="C14">
        <f>MIN(Table1[[#This Row],[Jan.]:[Dec.]])</f>
        <v>146.19999999999999</v>
      </c>
      <c r="D14">
        <f>MAX(Table1[[#This Row],[Jan.]:[Dec.]])</f>
        <v>149.69999999999999</v>
      </c>
    </row>
    <row r="15" spans="1:13">
      <c r="A15">
        <v>1995</v>
      </c>
      <c r="B15" s="10">
        <f>AVERAGE(Table1[[#This Row],[Jan.]:[Dec.]])</f>
        <v>152.38333333333335</v>
      </c>
      <c r="C15">
        <f>MIN(Table1[[#This Row],[Jan.]:[Dec.]])</f>
        <v>150.30000000000001</v>
      </c>
      <c r="D15">
        <f>MAX(Table1[[#This Row],[Jan.]:[Dec.]])</f>
        <v>153.69999999999999</v>
      </c>
    </row>
    <row r="16" spans="1:13">
      <c r="A16">
        <v>1996</v>
      </c>
      <c r="B16" s="10">
        <f>AVERAGE(Table1[[#This Row],[Jan.]:[Dec.]])</f>
        <v>156.84999999999997</v>
      </c>
      <c r="C16">
        <f>MIN(Table1[[#This Row],[Jan.]:[Dec.]])</f>
        <v>154.4</v>
      </c>
      <c r="D16">
        <f>MAX(Table1[[#This Row],[Jan.]:[Dec.]])</f>
        <v>158.6</v>
      </c>
    </row>
    <row r="17" spans="1:4">
      <c r="A17">
        <v>1997</v>
      </c>
      <c r="B17" s="10">
        <f>AVERAGE(Table1[[#This Row],[Jan.]:[Dec.]])</f>
        <v>160.51666666666665</v>
      </c>
      <c r="C17">
        <f>MIN(Table1[[#This Row],[Jan.]:[Dec.]])</f>
        <v>159.1</v>
      </c>
      <c r="D17">
        <f>MAX(Table1[[#This Row],[Jan.]:[Dec.]])</f>
        <v>161.6</v>
      </c>
    </row>
    <row r="18" spans="1:4">
      <c r="A18">
        <v>1998</v>
      </c>
      <c r="B18" s="10">
        <f>AVERAGE(Table1[[#This Row],[Jan.]:[Dec.]])</f>
        <v>163.00833333333335</v>
      </c>
      <c r="C18">
        <f>MIN(Table1[[#This Row],[Jan.]:[Dec.]])</f>
        <v>161.6</v>
      </c>
      <c r="D18">
        <f>MAX(Table1[[#This Row],[Jan.]:[Dec.]])</f>
        <v>164</v>
      </c>
    </row>
    <row r="19" spans="1:4">
      <c r="A19">
        <v>1999</v>
      </c>
      <c r="B19" s="10">
        <f>AVERAGE(Table1[[#This Row],[Jan.]:[Dec.]])</f>
        <v>166.57500000000002</v>
      </c>
      <c r="C19">
        <f>MIN(Table1[[#This Row],[Jan.]:[Dec.]])</f>
        <v>164.3</v>
      </c>
      <c r="D19">
        <f>MAX(Table1[[#This Row],[Jan.]:[Dec.]])</f>
        <v>168.3</v>
      </c>
    </row>
    <row r="20" spans="1:4">
      <c r="A20">
        <v>2000</v>
      </c>
      <c r="B20" s="10">
        <f>AVERAGE(Table1[[#This Row],[Jan.]:[Dec.]])</f>
        <v>172.19999999999996</v>
      </c>
      <c r="C20">
        <f>MIN(Table1[[#This Row],[Jan.]:[Dec.]])</f>
        <v>168.8</v>
      </c>
      <c r="D20">
        <f>MAX(Table1[[#This Row],[Jan.]:[Dec.]])</f>
        <v>174.1</v>
      </c>
    </row>
    <row r="21" spans="1:4">
      <c r="A21">
        <v>2001</v>
      </c>
      <c r="B21" s="10">
        <f>AVERAGE(Table1[[#This Row],[Jan.]:[Dec.]])</f>
        <v>177.06666666666663</v>
      </c>
      <c r="C21">
        <f>MIN(Table1[[#This Row],[Jan.]:[Dec.]])</f>
        <v>175.1</v>
      </c>
      <c r="D21">
        <f>MAX(Table1[[#This Row],[Jan.]:[Dec.]])</f>
        <v>178.3</v>
      </c>
    </row>
    <row r="22" spans="1:4">
      <c r="A22">
        <v>2002</v>
      </c>
      <c r="B22" s="10">
        <f>AVERAGE(Table1[[#This Row],[Jan.]:[Dec.]])</f>
        <v>179.875</v>
      </c>
      <c r="C22">
        <f>MIN(Table1[[#This Row],[Jan.]:[Dec.]])</f>
        <v>177.1</v>
      </c>
      <c r="D22">
        <f>MAX(Table1[[#This Row],[Jan.]:[Dec.]])</f>
        <v>181.3</v>
      </c>
    </row>
    <row r="23" spans="1:4">
      <c r="A23">
        <v>2003</v>
      </c>
      <c r="B23" s="10">
        <f>AVERAGE(Table1[[#This Row],[Jan.]:[Dec.]])</f>
        <v>183.95833333333334</v>
      </c>
      <c r="C23">
        <f>MIN(Table1[[#This Row],[Jan.]:[Dec.]])</f>
        <v>181.7</v>
      </c>
      <c r="D23">
        <f>MAX(Table1[[#This Row],[Jan.]:[Dec.]])</f>
        <v>185.2</v>
      </c>
    </row>
    <row r="24" spans="1:4">
      <c r="A24">
        <v>2004</v>
      </c>
      <c r="B24" s="10">
        <f>AVERAGE(Table1[[#This Row],[Jan.]:[Dec.]])</f>
        <v>188.88333333333335</v>
      </c>
      <c r="C24">
        <f>MIN(Table1[[#This Row],[Jan.]:[Dec.]])</f>
        <v>185.2</v>
      </c>
      <c r="D24">
        <f>MAX(Table1[[#This Row],[Jan.]:[Dec.]])</f>
        <v>191</v>
      </c>
    </row>
    <row r="25" spans="1:4">
      <c r="A25">
        <v>2005</v>
      </c>
      <c r="B25" s="10">
        <f>AVERAGE(Table1[[#This Row],[Jan.]:[Dec.]])</f>
        <v>195.29166666666671</v>
      </c>
      <c r="C25">
        <f>MIN(Table1[[#This Row],[Jan.]:[Dec.]])</f>
        <v>190.7</v>
      </c>
      <c r="D25">
        <f>MAX(Table1[[#This Row],[Jan.]:[Dec.]])</f>
        <v>199.2</v>
      </c>
    </row>
    <row r="26" spans="1:4">
      <c r="A26">
        <v>2006</v>
      </c>
      <c r="B26" s="10">
        <f>AVERAGE(Table1[[#This Row],[Jan.]:[Dec.]])</f>
        <v>201.5916666666667</v>
      </c>
      <c r="C26">
        <f>MIN(Table1[[#This Row],[Jan.]:[Dec.]])</f>
        <v>198.3</v>
      </c>
      <c r="D26">
        <f>MAX(Table1[[#This Row],[Jan.]:[Dec.]])</f>
        <v>203.9</v>
      </c>
    </row>
    <row r="27" spans="1:4">
      <c r="A27">
        <v>2007</v>
      </c>
      <c r="B27" s="10">
        <f>AVERAGE(Table1[[#This Row],[Jan.]:[Dec.]])</f>
        <v>207.34241666666671</v>
      </c>
      <c r="C27" s="10">
        <f>MIN(Table1[[#This Row],[Jan.]:[Dec.]])</f>
        <v>202.416</v>
      </c>
      <c r="D27" s="10">
        <f>MAX(Table1[[#This Row],[Jan.]:[Dec.]])</f>
        <v>210.17699999999999</v>
      </c>
    </row>
    <row r="28" spans="1:4">
      <c r="A28">
        <v>2008</v>
      </c>
      <c r="B28" s="10">
        <f>AVERAGE(Table1[[#This Row],[Jan.]:[Dec.]])</f>
        <v>215.30250000000001</v>
      </c>
      <c r="C28" s="10">
        <f>MIN(Table1[[#This Row],[Jan.]:[Dec.]])</f>
        <v>210.22800000000001</v>
      </c>
      <c r="D28" s="10">
        <f>MAX(Table1[[#This Row],[Jan.]:[Dec.]])</f>
        <v>219.964</v>
      </c>
    </row>
    <row r="29" spans="1:4">
      <c r="A29">
        <v>2009</v>
      </c>
      <c r="B29" s="10">
        <f>AVERAGE(Table1[[#This Row],[Jan.]:[Dec.]])</f>
        <v>214.53700000000001</v>
      </c>
      <c r="C29" s="10">
        <f>MIN(Table1[[#This Row],[Jan.]:[Dec.]])</f>
        <v>211.143</v>
      </c>
      <c r="D29" s="10">
        <f>MAX(Table1[[#This Row],[Jan.]:[Dec.]])</f>
        <v>216.33</v>
      </c>
    </row>
    <row r="30" spans="1:4">
      <c r="A30">
        <v>2010</v>
      </c>
      <c r="B30" s="10">
        <f>AVERAGE(Table1[[#This Row],[Jan.]:[Dec.]])</f>
        <v>218.05550000000002</v>
      </c>
      <c r="C30" s="10">
        <f>MIN(Table1[[#This Row],[Jan.]:[Dec.]])</f>
        <v>216.68700000000001</v>
      </c>
      <c r="D30" s="10">
        <f>MAX(Table1[[#This Row],[Jan.]:[Dec.]])</f>
        <v>219.179</v>
      </c>
    </row>
    <row r="31" spans="1:4">
      <c r="A31">
        <v>2011</v>
      </c>
      <c r="B31" s="10">
        <f>AVERAGE(Table1[[#This Row],[Jan.]:[Dec.]])</f>
        <v>224.93916666666667</v>
      </c>
      <c r="C31" s="10">
        <f>MIN(Table1[[#This Row],[Jan.]:[Dec.]])</f>
        <v>220.22300000000001</v>
      </c>
      <c r="D31" s="10">
        <f>MAX(Table1[[#This Row],[Jan.]:[Dec.]])</f>
        <v>226.88900000000001</v>
      </c>
    </row>
    <row r="32" spans="1:4">
      <c r="A32">
        <v>2012</v>
      </c>
      <c r="B32" s="10">
        <f>AVERAGE(Table1[[#This Row],[Jan.]:[Dec.]])</f>
        <v>229.5939166666667</v>
      </c>
      <c r="C32" s="10">
        <f>MIN(Table1[[#This Row],[Jan.]:[Dec.]])</f>
        <v>226.66499999999999</v>
      </c>
      <c r="D32" s="10">
        <f>MAX(Table1[[#This Row],[Jan.]:[Dec.]])</f>
        <v>231.40700000000001</v>
      </c>
    </row>
    <row r="33" spans="1:4">
      <c r="A33">
        <v>2013</v>
      </c>
      <c r="B33" s="10">
        <f>AVERAGE(Table1[[#This Row],[Jan.]:[Dec.]])</f>
        <v>232.95708333333332</v>
      </c>
      <c r="C33" s="10">
        <f>MIN(Table1[[#This Row],[Jan.]:[Dec.]])</f>
        <v>230.28</v>
      </c>
      <c r="D33" s="10">
        <f>MAX(Table1[[#This Row],[Jan.]:[Dec.]])</f>
        <v>234.149</v>
      </c>
    </row>
    <row r="34" spans="1:4">
      <c r="A34">
        <v>2014</v>
      </c>
      <c r="B34" s="10">
        <f>AVERAGE(Table1[[#This Row],[Jan.]:[Dec.]])</f>
        <v>236.73616666666666</v>
      </c>
      <c r="C34" s="10">
        <f>MIN(Table1[[#This Row],[Jan.]:[Dec.]])</f>
        <v>233.916</v>
      </c>
      <c r="D34" s="10">
        <f>MAX(Table1[[#This Row],[Jan.]:[Dec.]])</f>
        <v>238.34299999999999</v>
      </c>
    </row>
    <row r="35" spans="1:4">
      <c r="A35">
        <v>2015</v>
      </c>
      <c r="B35" s="10">
        <f>AVERAGE(Table1[[#This Row],[Jan.]:[Dec.]])</f>
        <v>237.01700000000002</v>
      </c>
      <c r="C35" s="10">
        <f>MIN(Table1[[#This Row],[Jan.]:[Dec.]])</f>
        <v>233.70699999999999</v>
      </c>
      <c r="D35" s="10">
        <f>MAX(Table1[[#This Row],[Jan.]:[Dec.]])</f>
        <v>238.654</v>
      </c>
    </row>
    <row r="36" spans="1:4">
      <c r="A36">
        <v>2016</v>
      </c>
      <c r="B36" s="10">
        <f>AVERAGE(Table1[[#This Row],[Jan.]:[Dec.]])</f>
        <v>240.00716666666662</v>
      </c>
      <c r="C36" s="10">
        <f>MIN(Table1[[#This Row],[Jan.]:[Dec.]])</f>
        <v>236.916</v>
      </c>
      <c r="D36" s="10">
        <f>MAX(Table1[[#This Row],[Jan.]:[Dec.]])</f>
        <v>241.72900000000001</v>
      </c>
    </row>
    <row r="37" spans="1:4">
      <c r="A37">
        <v>2017</v>
      </c>
      <c r="B37" s="10">
        <f>AVERAGE(Table1[[#This Row],[Jan.]:[Dec.]])</f>
        <v>245.11958333333334</v>
      </c>
      <c r="C37" s="10">
        <f>MIN(Table1[[#This Row],[Jan.]:[Dec.]])</f>
        <v>242.839</v>
      </c>
      <c r="D37" s="10">
        <f>MAX(Table1[[#This Row],[Jan.]:[Dec.]])</f>
        <v>246.81899999999999</v>
      </c>
    </row>
    <row r="38" spans="1:4">
      <c r="A38">
        <v>2018</v>
      </c>
      <c r="B38" s="10">
        <f>AVERAGE(Table1[[#This Row],[Jan.]:[Dec.]])</f>
        <v>251.10683333333338</v>
      </c>
      <c r="C38" s="10">
        <f>MIN(Table1[[#This Row],[Jan.]:[Dec.]])</f>
        <v>247.86699999999999</v>
      </c>
      <c r="D38" s="10">
        <f>MAX(Table1[[#This Row],[Jan.]:[Dec.]])</f>
        <v>252.88499999999999</v>
      </c>
    </row>
    <row r="39" spans="1:4">
      <c r="A39">
        <v>2019</v>
      </c>
      <c r="B39" s="10">
        <f>AVERAGE(Table1[[#This Row],[Jan.]:[Dec.]])</f>
        <v>255.65741666666668</v>
      </c>
      <c r="C39" s="10">
        <f>MIN(Table1[[#This Row],[Jan.]:[Dec.]])</f>
        <v>251.71199999999999</v>
      </c>
      <c r="D39" s="10">
        <f>MAX(Table1[[#This Row],[Jan.]:[Dec.]])</f>
        <v>257.346</v>
      </c>
    </row>
    <row r="40" spans="1:4">
      <c r="A40">
        <v>2020</v>
      </c>
      <c r="B40" s="10">
        <f>AVERAGE(Table1[[#This Row],[Jan.]:[Dec.]])</f>
        <v>258.81116666666668</v>
      </c>
      <c r="C40" s="10">
        <f>MIN(Table1[[#This Row],[Jan.]:[Dec.]])</f>
        <v>256.38900000000001</v>
      </c>
      <c r="D40" s="10">
        <f>MAX(Table1[[#This Row],[Jan.]:[Dec.]])</f>
        <v>260.47399999999999</v>
      </c>
    </row>
    <row r="41" spans="1:4">
      <c r="A41">
        <v>2021</v>
      </c>
      <c r="B41" s="10">
        <f>AVERAGE(Table1[[#This Row],[Jan.]:[Dec.]])</f>
        <v>270.96975000000003</v>
      </c>
      <c r="C41" s="10">
        <f>MIN(Table1[[#This Row],[Jan.]:[Dec.]])</f>
        <v>261.58199999999999</v>
      </c>
      <c r="D41" s="10">
        <f>MAX(Table1[[#This Row],[Jan.]:[Dec.]])</f>
        <v>278.80200000000002</v>
      </c>
    </row>
    <row r="42" spans="1:4">
      <c r="A42">
        <v>2022</v>
      </c>
      <c r="B42" s="10">
        <f>AVERAGE(Table1[[#This Row],[Jan.]:[Dec.]])</f>
        <v>292.65491666666668</v>
      </c>
      <c r="C42" s="10">
        <f>MIN(Table1[[#This Row],[Jan.]:[Dec.]])</f>
        <v>281.14800000000002</v>
      </c>
      <c r="D42" s="10">
        <f>MAX(Table1[[#This Row],[Jan.]:[Dec.]])</f>
        <v>298.012</v>
      </c>
    </row>
    <row r="43" spans="1:4">
      <c r="A43">
        <v>2023</v>
      </c>
      <c r="B43" s="10">
        <f>AVERAGE(Table1[[#This Row],[Jan.]:[Dec.]])</f>
        <v>304.7015833333333</v>
      </c>
      <c r="C43" s="10">
        <f>MIN(Table1[[#This Row],[Jan.]:[Dec.]])</f>
        <v>299.17</v>
      </c>
      <c r="D43" s="10">
        <f>MAX(Table1[[#This Row],[Jan.]:[Dec.]])</f>
        <v>307.78899999999999</v>
      </c>
    </row>
    <row r="44" spans="1:4">
      <c r="A44">
        <v>2024</v>
      </c>
      <c r="B44" s="10">
        <f>AVERAGE(Table1[[#This Row],[Jan.]:[Dec.]])</f>
        <v>313.68883333333332</v>
      </c>
      <c r="C44" s="10">
        <f>MIN(Table1[[#This Row],[Jan.]:[Dec.]])</f>
        <v>308.41699999999997</v>
      </c>
      <c r="D44" s="10">
        <f>MAX(Table1[[#This Row],[Jan.]:[Dec.]])</f>
        <v>315.66399999999999</v>
      </c>
    </row>
    <row r="45" spans="1:4">
      <c r="A45">
        <v>2025</v>
      </c>
      <c r="B45" s="10">
        <f>AVERAGE(Table1[[#This Row],[Jan.]:[Dec.]])</f>
        <v>321.94299999999998</v>
      </c>
      <c r="C45" s="10">
        <f>MIN(Table1[[#This Row],[Jan.]:[Dec.]])</f>
        <v>317.67099999999999</v>
      </c>
      <c r="D45" s="10">
        <f>MAX(Table1[[#This Row],[Jan.]:[Dec.]])</f>
        <v>324.8</v>
      </c>
    </row>
    <row r="46" spans="1:4">
      <c r="A46">
        <v>2026</v>
      </c>
      <c r="B46" s="10">
        <f>AVERAGE(Table1[[#This Row],[Jan.]:[Dec.]])</f>
        <v>331.65537499999999</v>
      </c>
      <c r="C46" s="10">
        <f>MIN(Table1[[#This Row],[Jan.]:[Dec.]])</f>
        <v>325.25200000000001</v>
      </c>
      <c r="D46" s="10">
        <f>MAX(Table1[[#This Row],[Jan.]:[Dec.]])</f>
        <v>335.12299999999999</v>
      </c>
    </row>
  </sheetData>
  <pageMargins left="0.7" right="0.7" top="0.75" bottom="0.75" header="0.3" footer="0.3"/>
  <ignoredErrors>
    <ignoredError sqref="G3:H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ED05-269D-4427-848B-2B114159B5EB}">
  <dimension ref="A1:D18"/>
  <sheetViews>
    <sheetView workbookViewId="0">
      <selection activeCell="D19" sqref="D19"/>
    </sheetView>
  </sheetViews>
  <sheetFormatPr defaultRowHeight="14.45"/>
  <sheetData>
    <row r="1" spans="1:2">
      <c r="A1" t="s">
        <v>140</v>
      </c>
      <c r="B1" t="s">
        <v>137</v>
      </c>
    </row>
    <row r="2" spans="1:2">
      <c r="A2" t="s">
        <v>144</v>
      </c>
      <c r="B2" s="10">
        <v>191.7613777777778</v>
      </c>
    </row>
    <row r="3" spans="1:2">
      <c r="A3" t="s">
        <v>147</v>
      </c>
      <c r="B3" s="10">
        <v>192.5619777777778</v>
      </c>
    </row>
    <row r="4" spans="1:2">
      <c r="A4" t="s">
        <v>148</v>
      </c>
      <c r="B4" s="10">
        <v>193.50508888888888</v>
      </c>
    </row>
    <row r="5" spans="1:2">
      <c r="A5" t="s">
        <v>150</v>
      </c>
      <c r="B5" s="10">
        <v>194.22462222222228</v>
      </c>
    </row>
    <row r="6" spans="1:2">
      <c r="A6" t="s">
        <v>9</v>
      </c>
      <c r="B6" s="10">
        <v>194.84344444444443</v>
      </c>
    </row>
    <row r="7" spans="1:2">
      <c r="A7" t="s">
        <v>151</v>
      </c>
      <c r="B7" s="10">
        <v>195.40924444444443</v>
      </c>
    </row>
    <row r="8" spans="1:2">
      <c r="A8" t="s">
        <v>152</v>
      </c>
      <c r="B8" s="10">
        <v>195.65820000000002</v>
      </c>
    </row>
    <row r="9" spans="1:2">
      <c r="A9" t="s">
        <v>154</v>
      </c>
      <c r="B9" s="10">
        <v>196.03386666666665</v>
      </c>
    </row>
    <row r="10" spans="1:2">
      <c r="A10" t="s">
        <v>155</v>
      </c>
      <c r="B10" s="10">
        <v>193.36215909090913</v>
      </c>
    </row>
    <row r="11" spans="1:2">
      <c r="A11" t="s">
        <v>156</v>
      </c>
      <c r="B11" s="10">
        <v>190.51393023255815</v>
      </c>
    </row>
    <row r="12" spans="1:2">
      <c r="A12" t="s">
        <v>157</v>
      </c>
      <c r="B12" s="10">
        <v>193.37645454545455</v>
      </c>
    </row>
    <row r="13" spans="1:2">
      <c r="A13" t="s">
        <v>158</v>
      </c>
      <c r="B13" s="10">
        <v>193.16345454545456</v>
      </c>
    </row>
    <row r="17" spans="4:4">
      <c r="D17" t="s">
        <v>159</v>
      </c>
    </row>
    <row r="18" spans="4:4">
      <c r="D18" t="s">
        <v>160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D751-6924-4CB3-9941-8222088B45B6}">
  <dimension ref="A1:J618"/>
  <sheetViews>
    <sheetView tabSelected="1" topLeftCell="E1" workbookViewId="0">
      <selection activeCell="X5" sqref="X5"/>
    </sheetView>
  </sheetViews>
  <sheetFormatPr defaultRowHeight="14.45"/>
  <cols>
    <col min="1" max="1" width="13.5703125" customWidth="1"/>
    <col min="4" max="4" width="12.28515625" bestFit="1" customWidth="1"/>
    <col min="5" max="5" width="37.42578125" customWidth="1"/>
    <col min="6" max="6" width="17.7109375" customWidth="1"/>
    <col min="7" max="7" width="13.5703125" customWidth="1"/>
  </cols>
  <sheetData>
    <row r="1" spans="1:8" ht="43.15">
      <c r="A1" t="s">
        <v>4</v>
      </c>
      <c r="B1" t="s">
        <v>161</v>
      </c>
      <c r="C1" t="s">
        <v>162</v>
      </c>
      <c r="D1" t="s">
        <v>163</v>
      </c>
      <c r="E1" s="17" t="s">
        <v>164</v>
      </c>
      <c r="G1" t="s">
        <v>4</v>
      </c>
      <c r="H1" t="s">
        <v>163</v>
      </c>
    </row>
    <row r="2" spans="1:8">
      <c r="A2" s="15">
        <v>29952</v>
      </c>
      <c r="B2" s="10">
        <v>94.3</v>
      </c>
      <c r="C2">
        <v>0</v>
      </c>
      <c r="G2" s="15">
        <v>29952</v>
      </c>
    </row>
    <row r="3" spans="1:8">
      <c r="A3" s="15">
        <f>EDATE(A2,1)</f>
        <v>29983</v>
      </c>
      <c r="B3" s="10">
        <v>94.6</v>
      </c>
      <c r="C3" s="10">
        <f>B3-B2</f>
        <v>0.29999999999999716</v>
      </c>
      <c r="D3" s="16">
        <f>(B3-B2)/B2*100</f>
        <v>0.31813361611876689</v>
      </c>
      <c r="G3" s="15">
        <f>EDATE(G2,1)</f>
        <v>29983</v>
      </c>
      <c r="H3" s="11">
        <v>0.318133616118767</v>
      </c>
    </row>
    <row r="4" spans="1:8">
      <c r="A4" s="15">
        <f t="shared" ref="A4:A67" si="0">EDATE(A3,1)</f>
        <v>30011</v>
      </c>
      <c r="B4" s="10">
        <v>94.5</v>
      </c>
      <c r="C4" s="10">
        <f t="shared" ref="C4:C67" si="1">B4-B3</f>
        <v>-9.9999999999994316E-2</v>
      </c>
      <c r="D4" s="16">
        <f t="shared" ref="D4:D67" si="2">(B4-B3)/B3*100</f>
        <v>-0.10570824524312296</v>
      </c>
      <c r="G4" s="15">
        <f t="shared" ref="G4:G67" si="3">EDATE(G3,1)</f>
        <v>30011</v>
      </c>
      <c r="H4" s="11">
        <v>-0.10570824524312296</v>
      </c>
    </row>
    <row r="5" spans="1:8">
      <c r="A5" s="15">
        <f t="shared" si="0"/>
        <v>30042</v>
      </c>
      <c r="B5" s="10">
        <v>94.9</v>
      </c>
      <c r="C5" s="10">
        <f t="shared" si="1"/>
        <v>0.40000000000000568</v>
      </c>
      <c r="D5" s="16">
        <f t="shared" si="2"/>
        <v>0.42328042328042931</v>
      </c>
      <c r="G5" s="15">
        <f t="shared" si="3"/>
        <v>30042</v>
      </c>
      <c r="H5" s="11">
        <v>0.42328042328042931</v>
      </c>
    </row>
    <row r="6" spans="1:8">
      <c r="A6" s="15">
        <f t="shared" si="0"/>
        <v>30072</v>
      </c>
      <c r="B6" s="10">
        <v>95.8</v>
      </c>
      <c r="C6" s="10">
        <f t="shared" si="1"/>
        <v>0.89999999999999147</v>
      </c>
      <c r="D6" s="16">
        <f t="shared" si="2"/>
        <v>0.9483667017913503</v>
      </c>
      <c r="G6" s="15">
        <f t="shared" si="3"/>
        <v>30072</v>
      </c>
      <c r="H6" s="11">
        <v>0.9483667017913503</v>
      </c>
    </row>
    <row r="7" spans="1:8">
      <c r="A7" s="15">
        <f t="shared" si="0"/>
        <v>30103</v>
      </c>
      <c r="B7" s="10">
        <v>97</v>
      </c>
      <c r="C7" s="10">
        <f t="shared" si="1"/>
        <v>1.2000000000000028</v>
      </c>
      <c r="D7" s="16">
        <f t="shared" si="2"/>
        <v>1.2526096033402954</v>
      </c>
      <c r="G7" s="15">
        <f t="shared" si="3"/>
        <v>30103</v>
      </c>
      <c r="H7" s="11">
        <v>1.2526096033402954</v>
      </c>
    </row>
    <row r="8" spans="1:8">
      <c r="A8" s="15">
        <f t="shared" si="0"/>
        <v>30133</v>
      </c>
      <c r="B8" s="10">
        <v>97.5</v>
      </c>
      <c r="C8" s="10">
        <f t="shared" si="1"/>
        <v>0.5</v>
      </c>
      <c r="D8" s="16">
        <f t="shared" si="2"/>
        <v>0.51546391752577314</v>
      </c>
      <c r="G8" s="15">
        <f t="shared" si="3"/>
        <v>30133</v>
      </c>
      <c r="H8" s="11">
        <v>0.51546391752577314</v>
      </c>
    </row>
    <row r="9" spans="1:8">
      <c r="A9" s="15">
        <f t="shared" si="0"/>
        <v>30164</v>
      </c>
      <c r="B9" s="10">
        <v>97.7</v>
      </c>
      <c r="C9" s="10">
        <f t="shared" si="1"/>
        <v>0.20000000000000284</v>
      </c>
      <c r="D9" s="16">
        <f t="shared" si="2"/>
        <v>0.20512820512820804</v>
      </c>
      <c r="G9" s="15">
        <f t="shared" si="3"/>
        <v>30164</v>
      </c>
      <c r="H9" s="11">
        <v>0.20512820512820804</v>
      </c>
    </row>
    <row r="10" spans="1:8">
      <c r="A10" s="15">
        <f t="shared" si="0"/>
        <v>30195</v>
      </c>
      <c r="B10" s="10">
        <v>97.9</v>
      </c>
      <c r="C10" s="10">
        <f t="shared" si="1"/>
        <v>0.20000000000000284</v>
      </c>
      <c r="D10" s="16">
        <f t="shared" si="2"/>
        <v>0.20470829068577567</v>
      </c>
      <c r="G10" s="15">
        <f t="shared" si="3"/>
        <v>30195</v>
      </c>
      <c r="H10" s="11">
        <v>0.20470829068577567</v>
      </c>
    </row>
    <row r="11" spans="1:8">
      <c r="A11" s="15">
        <f t="shared" si="0"/>
        <v>30225</v>
      </c>
      <c r="B11" s="10">
        <v>98.2</v>
      </c>
      <c r="C11" s="10">
        <f t="shared" si="1"/>
        <v>0.29999999999999716</v>
      </c>
      <c r="D11" s="16">
        <f t="shared" si="2"/>
        <v>0.30643513789580912</v>
      </c>
      <c r="G11" s="15">
        <f t="shared" si="3"/>
        <v>30225</v>
      </c>
      <c r="H11" s="11">
        <v>0.30643513789580912</v>
      </c>
    </row>
    <row r="12" spans="1:8">
      <c r="A12" s="15">
        <f t="shared" si="0"/>
        <v>30256</v>
      </c>
      <c r="B12" s="10">
        <v>98</v>
      </c>
      <c r="C12" s="10">
        <f t="shared" si="1"/>
        <v>-0.20000000000000284</v>
      </c>
      <c r="D12" s="16">
        <f t="shared" si="2"/>
        <v>-0.20366598778004363</v>
      </c>
      <c r="G12" s="15">
        <f t="shared" si="3"/>
        <v>30256</v>
      </c>
      <c r="H12" s="11">
        <v>-0.20366598778004363</v>
      </c>
    </row>
    <row r="13" spans="1:8">
      <c r="A13" s="15">
        <f t="shared" si="0"/>
        <v>30286</v>
      </c>
      <c r="B13" s="10">
        <v>97.6</v>
      </c>
      <c r="C13" s="10">
        <f t="shared" si="1"/>
        <v>-0.40000000000000568</v>
      </c>
      <c r="D13" s="16">
        <f t="shared" si="2"/>
        <v>-0.40816326530612823</v>
      </c>
      <c r="G13" s="15">
        <f t="shared" si="3"/>
        <v>30286</v>
      </c>
      <c r="H13" s="11">
        <v>-0.40816326530612823</v>
      </c>
    </row>
    <row r="14" spans="1:8">
      <c r="A14" s="15">
        <f t="shared" si="0"/>
        <v>30317</v>
      </c>
      <c r="B14">
        <v>97.8</v>
      </c>
      <c r="C14" s="10">
        <f t="shared" si="1"/>
        <v>0.20000000000000284</v>
      </c>
      <c r="D14" s="16">
        <f t="shared" si="2"/>
        <v>0.20491803278688817</v>
      </c>
      <c r="G14" s="15">
        <f t="shared" si="3"/>
        <v>30317</v>
      </c>
      <c r="H14" s="11">
        <v>0.20491803278688817</v>
      </c>
    </row>
    <row r="15" spans="1:8">
      <c r="A15" s="15">
        <f t="shared" si="0"/>
        <v>30348</v>
      </c>
      <c r="B15">
        <v>97.9</v>
      </c>
      <c r="C15" s="10">
        <f t="shared" si="1"/>
        <v>0.10000000000000853</v>
      </c>
      <c r="D15" s="16">
        <f t="shared" si="2"/>
        <v>0.10224948875256497</v>
      </c>
      <c r="G15" s="15">
        <f t="shared" si="3"/>
        <v>30348</v>
      </c>
      <c r="H15" s="11">
        <v>0.10224948875256497</v>
      </c>
    </row>
    <row r="16" spans="1:8">
      <c r="A16" s="15">
        <f t="shared" si="0"/>
        <v>30376</v>
      </c>
      <c r="B16">
        <v>97.9</v>
      </c>
      <c r="C16" s="10">
        <f t="shared" si="1"/>
        <v>0</v>
      </c>
      <c r="D16" s="16">
        <f t="shared" si="2"/>
        <v>0</v>
      </c>
      <c r="G16" s="15">
        <f t="shared" si="3"/>
        <v>30376</v>
      </c>
      <c r="H16">
        <v>0</v>
      </c>
    </row>
    <row r="17" spans="1:10">
      <c r="A17" s="15">
        <f t="shared" si="0"/>
        <v>30407</v>
      </c>
      <c r="B17">
        <v>98.6</v>
      </c>
      <c r="C17" s="10">
        <f t="shared" si="1"/>
        <v>0.69999999999998863</v>
      </c>
      <c r="D17" s="16">
        <f t="shared" si="2"/>
        <v>0.71501532175688309</v>
      </c>
      <c r="G17" s="15">
        <f t="shared" si="3"/>
        <v>30407</v>
      </c>
      <c r="H17" s="11">
        <v>0.71501532175688309</v>
      </c>
    </row>
    <row r="18" spans="1:10">
      <c r="A18" s="15">
        <f t="shared" si="0"/>
        <v>30437</v>
      </c>
      <c r="B18">
        <v>99.2</v>
      </c>
      <c r="C18" s="10">
        <f t="shared" si="1"/>
        <v>0.60000000000000853</v>
      </c>
      <c r="D18" s="16">
        <f t="shared" si="2"/>
        <v>0.60851926977688497</v>
      </c>
      <c r="G18" s="15">
        <f t="shared" si="3"/>
        <v>30437</v>
      </c>
      <c r="H18" s="11">
        <v>0.60851926977688497</v>
      </c>
    </row>
    <row r="19" spans="1:10">
      <c r="A19" s="15">
        <f t="shared" si="0"/>
        <v>30468</v>
      </c>
      <c r="B19">
        <v>99.5</v>
      </c>
      <c r="C19" s="10">
        <f t="shared" si="1"/>
        <v>0.29999999999999716</v>
      </c>
      <c r="D19" s="16">
        <f t="shared" si="2"/>
        <v>0.3024193548387068</v>
      </c>
      <c r="G19" s="15">
        <f t="shared" si="3"/>
        <v>30468</v>
      </c>
      <c r="H19" s="11">
        <v>0.3024193548387068</v>
      </c>
      <c r="J19" t="s">
        <v>165</v>
      </c>
    </row>
    <row r="20" spans="1:10">
      <c r="A20" s="15">
        <f t="shared" si="0"/>
        <v>30498</v>
      </c>
      <c r="B20">
        <v>99.9</v>
      </c>
      <c r="C20" s="10">
        <f t="shared" si="1"/>
        <v>0.40000000000000568</v>
      </c>
      <c r="D20" s="16">
        <f t="shared" si="2"/>
        <v>0.40201005025126196</v>
      </c>
      <c r="G20" s="15">
        <f t="shared" si="3"/>
        <v>30498</v>
      </c>
      <c r="H20" s="11">
        <v>0.40201005025126196</v>
      </c>
      <c r="J20" t="s">
        <v>166</v>
      </c>
    </row>
    <row r="21" spans="1:10">
      <c r="A21" s="15">
        <f t="shared" si="0"/>
        <v>30529</v>
      </c>
      <c r="B21">
        <v>100.2</v>
      </c>
      <c r="C21" s="10">
        <f t="shared" si="1"/>
        <v>0.29999999999999716</v>
      </c>
      <c r="D21" s="16">
        <f t="shared" si="2"/>
        <v>0.30030030030029742</v>
      </c>
      <c r="G21" s="15">
        <f t="shared" si="3"/>
        <v>30529</v>
      </c>
      <c r="H21" s="11">
        <v>0.30030030030029742</v>
      </c>
      <c r="J21" t="s">
        <v>167</v>
      </c>
    </row>
    <row r="22" spans="1:10">
      <c r="A22" s="15">
        <f t="shared" si="0"/>
        <v>30560</v>
      </c>
      <c r="B22">
        <v>100.7</v>
      </c>
      <c r="C22" s="10">
        <f t="shared" si="1"/>
        <v>0.5</v>
      </c>
      <c r="D22" s="16">
        <f t="shared" si="2"/>
        <v>0.49900199600798401</v>
      </c>
      <c r="G22" s="15">
        <f t="shared" si="3"/>
        <v>30560</v>
      </c>
      <c r="H22" s="11">
        <v>0.49900199600798401</v>
      </c>
    </row>
    <row r="23" spans="1:10">
      <c r="A23" s="15">
        <f t="shared" si="0"/>
        <v>30590</v>
      </c>
      <c r="B23">
        <v>101</v>
      </c>
      <c r="C23" s="10">
        <f t="shared" si="1"/>
        <v>0.29999999999999716</v>
      </c>
      <c r="D23" s="16">
        <f t="shared" si="2"/>
        <v>0.29791459781529012</v>
      </c>
      <c r="G23" s="15">
        <f t="shared" si="3"/>
        <v>30590</v>
      </c>
      <c r="H23" s="11">
        <v>0.29791459781529012</v>
      </c>
    </row>
    <row r="24" spans="1:10">
      <c r="A24" s="15">
        <f t="shared" si="0"/>
        <v>30621</v>
      </c>
      <c r="B24">
        <v>101.2</v>
      </c>
      <c r="C24" s="10">
        <f t="shared" si="1"/>
        <v>0.20000000000000284</v>
      </c>
      <c r="D24" s="16">
        <f t="shared" si="2"/>
        <v>0.19801980198020083</v>
      </c>
      <c r="G24" s="15">
        <f t="shared" si="3"/>
        <v>30621</v>
      </c>
      <c r="H24" s="11">
        <v>0.19801980198020083</v>
      </c>
    </row>
    <row r="25" spans="1:10">
      <c r="A25" s="15">
        <f t="shared" si="0"/>
        <v>30651</v>
      </c>
      <c r="B25">
        <v>101.3</v>
      </c>
      <c r="C25" s="10">
        <f t="shared" si="1"/>
        <v>9.9999999999994316E-2</v>
      </c>
      <c r="D25" s="16">
        <f t="shared" si="2"/>
        <v>9.8814229249006236E-2</v>
      </c>
      <c r="G25" s="15">
        <f t="shared" si="3"/>
        <v>30651</v>
      </c>
      <c r="H25" s="11">
        <v>9.8814229249006236E-2</v>
      </c>
    </row>
    <row r="26" spans="1:10">
      <c r="A26" s="15">
        <f t="shared" si="0"/>
        <v>30682</v>
      </c>
      <c r="B26" s="10">
        <v>101.9</v>
      </c>
      <c r="C26" s="10">
        <f t="shared" si="1"/>
        <v>0.60000000000000853</v>
      </c>
      <c r="D26" s="16">
        <f t="shared" si="2"/>
        <v>0.59230009871669154</v>
      </c>
      <c r="G26" s="15">
        <f t="shared" si="3"/>
        <v>30682</v>
      </c>
      <c r="H26" s="11">
        <v>0.59230009871669154</v>
      </c>
    </row>
    <row r="27" spans="1:10">
      <c r="A27" s="15">
        <f t="shared" si="0"/>
        <v>30713</v>
      </c>
      <c r="B27" s="10">
        <v>102.4</v>
      </c>
      <c r="C27" s="10">
        <f t="shared" si="1"/>
        <v>0.5</v>
      </c>
      <c r="D27" s="16">
        <f t="shared" si="2"/>
        <v>0.49067713444553479</v>
      </c>
      <c r="G27" s="15">
        <f t="shared" si="3"/>
        <v>30713</v>
      </c>
      <c r="H27" s="11">
        <v>0.49067713444553479</v>
      </c>
    </row>
    <row r="28" spans="1:10">
      <c r="A28" s="15">
        <f t="shared" si="0"/>
        <v>30742</v>
      </c>
      <c r="B28" s="10">
        <v>102.6</v>
      </c>
      <c r="C28" s="10">
        <f t="shared" si="1"/>
        <v>0.19999999999998863</v>
      </c>
      <c r="D28" s="16">
        <f t="shared" si="2"/>
        <v>0.1953124999999889</v>
      </c>
      <c r="G28" s="15">
        <f t="shared" si="3"/>
        <v>30742</v>
      </c>
      <c r="H28" s="11">
        <v>0.1953124999999889</v>
      </c>
    </row>
    <row r="29" spans="1:10">
      <c r="A29" s="15">
        <f t="shared" si="0"/>
        <v>30773</v>
      </c>
      <c r="B29" s="10">
        <v>103.1</v>
      </c>
      <c r="C29" s="10">
        <f t="shared" si="1"/>
        <v>0.5</v>
      </c>
      <c r="D29" s="16">
        <f t="shared" si="2"/>
        <v>0.48732943469785583</v>
      </c>
      <c r="G29" s="15">
        <f t="shared" si="3"/>
        <v>30773</v>
      </c>
      <c r="H29" s="11">
        <v>0.48732943469785583</v>
      </c>
    </row>
    <row r="30" spans="1:10">
      <c r="A30" s="15">
        <f t="shared" si="0"/>
        <v>30803</v>
      </c>
      <c r="B30" s="10">
        <v>103.4</v>
      </c>
      <c r="C30" s="10">
        <f t="shared" si="1"/>
        <v>0.30000000000001137</v>
      </c>
      <c r="D30" s="16">
        <f t="shared" si="2"/>
        <v>0.29097963142581124</v>
      </c>
      <c r="G30" s="15">
        <f t="shared" si="3"/>
        <v>30803</v>
      </c>
      <c r="H30" s="11">
        <v>0.29097963142581124</v>
      </c>
    </row>
    <row r="31" spans="1:10">
      <c r="A31" s="15">
        <f t="shared" si="0"/>
        <v>30834</v>
      </c>
      <c r="B31" s="10">
        <v>103.7</v>
      </c>
      <c r="C31" s="10">
        <f t="shared" si="1"/>
        <v>0.29999999999999716</v>
      </c>
      <c r="D31" s="16">
        <f t="shared" si="2"/>
        <v>0.2901353965183725</v>
      </c>
      <c r="G31" s="15">
        <f t="shared" si="3"/>
        <v>30834</v>
      </c>
      <c r="H31" s="11">
        <v>0.2901353965183725</v>
      </c>
    </row>
    <row r="32" spans="1:10">
      <c r="A32" s="15">
        <f t="shared" si="0"/>
        <v>30864</v>
      </c>
      <c r="B32" s="10">
        <v>104.1</v>
      </c>
      <c r="C32" s="10">
        <f t="shared" si="1"/>
        <v>0.39999999999999147</v>
      </c>
      <c r="D32" s="16">
        <f t="shared" si="2"/>
        <v>0.38572806171648166</v>
      </c>
      <c r="G32" s="15">
        <f t="shared" si="3"/>
        <v>30864</v>
      </c>
      <c r="H32" s="11">
        <v>0.38572806171648166</v>
      </c>
    </row>
    <row r="33" spans="1:8">
      <c r="A33" s="15">
        <f t="shared" si="0"/>
        <v>30895</v>
      </c>
      <c r="B33" s="10">
        <v>104.5</v>
      </c>
      <c r="C33" s="10">
        <f t="shared" si="1"/>
        <v>0.40000000000000568</v>
      </c>
      <c r="D33" s="16">
        <f t="shared" si="2"/>
        <v>0.38424591738713326</v>
      </c>
      <c r="G33" s="15">
        <f t="shared" si="3"/>
        <v>30895</v>
      </c>
      <c r="H33" s="11">
        <v>0.38424591738713326</v>
      </c>
    </row>
    <row r="34" spans="1:8">
      <c r="A34" s="15">
        <f t="shared" si="0"/>
        <v>30926</v>
      </c>
      <c r="B34" s="10">
        <v>105</v>
      </c>
      <c r="C34" s="10">
        <f t="shared" si="1"/>
        <v>0.5</v>
      </c>
      <c r="D34" s="16">
        <f t="shared" si="2"/>
        <v>0.4784688995215311</v>
      </c>
      <c r="G34" s="15">
        <f t="shared" si="3"/>
        <v>30926</v>
      </c>
      <c r="H34" s="11">
        <v>0.4784688995215311</v>
      </c>
    </row>
    <row r="35" spans="1:8">
      <c r="A35" s="15">
        <f t="shared" si="0"/>
        <v>30956</v>
      </c>
      <c r="B35" s="10">
        <v>105.3</v>
      </c>
      <c r="C35" s="10">
        <f t="shared" si="1"/>
        <v>0.29999999999999716</v>
      </c>
      <c r="D35" s="16">
        <f t="shared" si="2"/>
        <v>0.28571428571428303</v>
      </c>
      <c r="G35" s="15">
        <f t="shared" si="3"/>
        <v>30956</v>
      </c>
      <c r="H35" s="11">
        <v>0.28571428571428303</v>
      </c>
    </row>
    <row r="36" spans="1:8">
      <c r="A36" s="15">
        <f t="shared" si="0"/>
        <v>30987</v>
      </c>
      <c r="B36" s="10">
        <v>105.3</v>
      </c>
      <c r="C36" s="10">
        <f t="shared" si="1"/>
        <v>0</v>
      </c>
      <c r="D36" s="16">
        <f t="shared" si="2"/>
        <v>0</v>
      </c>
      <c r="G36" s="15">
        <f t="shared" si="3"/>
        <v>30987</v>
      </c>
      <c r="H36" s="11">
        <v>0</v>
      </c>
    </row>
    <row r="37" spans="1:8">
      <c r="A37" s="15">
        <f t="shared" si="0"/>
        <v>31017</v>
      </c>
      <c r="B37" s="10">
        <v>105.3</v>
      </c>
      <c r="C37" s="10">
        <f t="shared" si="1"/>
        <v>0</v>
      </c>
      <c r="D37" s="16">
        <f t="shared" si="2"/>
        <v>0</v>
      </c>
      <c r="G37" s="15">
        <f t="shared" si="3"/>
        <v>31017</v>
      </c>
      <c r="H37" s="11">
        <v>0</v>
      </c>
    </row>
    <row r="38" spans="1:8">
      <c r="A38" s="15">
        <f t="shared" si="0"/>
        <v>31048</v>
      </c>
      <c r="B38">
        <v>105.5</v>
      </c>
      <c r="C38" s="10">
        <f t="shared" si="1"/>
        <v>0.20000000000000284</v>
      </c>
      <c r="D38" s="16">
        <f t="shared" si="2"/>
        <v>0.18993352326685931</v>
      </c>
      <c r="G38" s="15">
        <f t="shared" si="3"/>
        <v>31048</v>
      </c>
      <c r="H38" s="11">
        <v>0.18993352326685931</v>
      </c>
    </row>
    <row r="39" spans="1:8">
      <c r="A39" s="15">
        <f t="shared" si="0"/>
        <v>31079</v>
      </c>
      <c r="B39">
        <v>106</v>
      </c>
      <c r="C39" s="10">
        <f t="shared" si="1"/>
        <v>0.5</v>
      </c>
      <c r="D39" s="16">
        <f t="shared" si="2"/>
        <v>0.47393364928909953</v>
      </c>
      <c r="G39" s="15">
        <f t="shared" si="3"/>
        <v>31079</v>
      </c>
      <c r="H39" s="11">
        <v>0.47393364928909953</v>
      </c>
    </row>
    <row r="40" spans="1:8">
      <c r="A40" s="15">
        <f t="shared" si="0"/>
        <v>31107</v>
      </c>
      <c r="B40">
        <v>106.4</v>
      </c>
      <c r="C40" s="10">
        <f t="shared" si="1"/>
        <v>0.40000000000000568</v>
      </c>
      <c r="D40" s="16">
        <f t="shared" si="2"/>
        <v>0.37735849056604309</v>
      </c>
      <c r="G40" s="15">
        <f t="shared" si="3"/>
        <v>31107</v>
      </c>
      <c r="H40" s="11">
        <v>0.37735849056604309</v>
      </c>
    </row>
    <row r="41" spans="1:8">
      <c r="A41" s="15">
        <f t="shared" si="0"/>
        <v>31138</v>
      </c>
      <c r="B41">
        <v>106.9</v>
      </c>
      <c r="C41" s="10">
        <f t="shared" si="1"/>
        <v>0.5</v>
      </c>
      <c r="D41" s="16">
        <f t="shared" si="2"/>
        <v>0.46992481203007519</v>
      </c>
      <c r="G41" s="15">
        <f t="shared" si="3"/>
        <v>31138</v>
      </c>
      <c r="H41" s="11">
        <v>0.46992481203007519</v>
      </c>
    </row>
    <row r="42" spans="1:8">
      <c r="A42" s="15">
        <f t="shared" si="0"/>
        <v>31168</v>
      </c>
      <c r="B42">
        <v>107.3</v>
      </c>
      <c r="C42" s="10">
        <f t="shared" si="1"/>
        <v>0.39999999999999147</v>
      </c>
      <c r="D42" s="16">
        <f t="shared" si="2"/>
        <v>0.37418147801683022</v>
      </c>
      <c r="G42" s="15">
        <f t="shared" si="3"/>
        <v>31168</v>
      </c>
      <c r="H42" s="11">
        <v>0.37418147801683022</v>
      </c>
    </row>
    <row r="43" spans="1:8">
      <c r="A43" s="15">
        <f t="shared" si="0"/>
        <v>31199</v>
      </c>
      <c r="B43">
        <v>107.6</v>
      </c>
      <c r="C43" s="10">
        <f t="shared" si="1"/>
        <v>0.29999999999999716</v>
      </c>
      <c r="D43" s="16">
        <f t="shared" si="2"/>
        <v>0.27958993476234595</v>
      </c>
      <c r="G43" s="15">
        <f t="shared" si="3"/>
        <v>31199</v>
      </c>
      <c r="H43" s="11">
        <v>0.27958993476234595</v>
      </c>
    </row>
    <row r="44" spans="1:8">
      <c r="A44" s="15">
        <f t="shared" si="0"/>
        <v>31229</v>
      </c>
      <c r="B44">
        <v>107.8</v>
      </c>
      <c r="C44" s="10">
        <f t="shared" si="1"/>
        <v>0.20000000000000284</v>
      </c>
      <c r="D44" s="16">
        <f t="shared" si="2"/>
        <v>0.18587360594795804</v>
      </c>
      <c r="G44" s="15">
        <f t="shared" si="3"/>
        <v>31229</v>
      </c>
      <c r="H44" s="11">
        <v>0.18587360594795804</v>
      </c>
    </row>
    <row r="45" spans="1:8">
      <c r="A45" s="15">
        <f t="shared" si="0"/>
        <v>31260</v>
      </c>
      <c r="B45">
        <v>108</v>
      </c>
      <c r="C45" s="10">
        <f t="shared" si="1"/>
        <v>0.20000000000000284</v>
      </c>
      <c r="D45" s="16">
        <f t="shared" si="2"/>
        <v>0.18552875695733104</v>
      </c>
      <c r="G45" s="15">
        <f t="shared" si="3"/>
        <v>31260</v>
      </c>
      <c r="H45" s="11">
        <v>0.18552875695733104</v>
      </c>
    </row>
    <row r="46" spans="1:8">
      <c r="A46" s="15">
        <f t="shared" si="0"/>
        <v>31291</v>
      </c>
      <c r="B46">
        <v>108.3</v>
      </c>
      <c r="C46" s="10">
        <f t="shared" si="1"/>
        <v>0.29999999999999716</v>
      </c>
      <c r="D46" s="16">
        <f t="shared" si="2"/>
        <v>0.27777777777777513</v>
      </c>
      <c r="G46" s="15">
        <f t="shared" si="3"/>
        <v>31291</v>
      </c>
      <c r="H46" s="11">
        <v>0.27777777777777513</v>
      </c>
    </row>
    <row r="47" spans="1:8">
      <c r="A47" s="15">
        <f t="shared" si="0"/>
        <v>31321</v>
      </c>
      <c r="B47">
        <v>108.7</v>
      </c>
      <c r="C47" s="10">
        <f t="shared" si="1"/>
        <v>0.40000000000000568</v>
      </c>
      <c r="D47" s="16">
        <f t="shared" si="2"/>
        <v>0.36934441366574861</v>
      </c>
      <c r="G47" s="15">
        <f t="shared" si="3"/>
        <v>31321</v>
      </c>
      <c r="H47" s="11">
        <v>0.36934441366574861</v>
      </c>
    </row>
    <row r="48" spans="1:8">
      <c r="A48" s="15">
        <f t="shared" si="0"/>
        <v>31352</v>
      </c>
      <c r="B48">
        <v>109</v>
      </c>
      <c r="C48" s="10">
        <f t="shared" si="1"/>
        <v>0.29999999999999716</v>
      </c>
      <c r="D48" s="16">
        <f t="shared" si="2"/>
        <v>0.27598896044157972</v>
      </c>
      <c r="G48" s="15">
        <f t="shared" si="3"/>
        <v>31352</v>
      </c>
      <c r="H48" s="11">
        <v>0.27598896044157972</v>
      </c>
    </row>
    <row r="49" spans="1:8">
      <c r="A49" s="15">
        <f t="shared" si="0"/>
        <v>31382</v>
      </c>
      <c r="B49">
        <v>109.3</v>
      </c>
      <c r="C49" s="10">
        <f t="shared" si="1"/>
        <v>0.29999999999999716</v>
      </c>
      <c r="D49" s="16">
        <f t="shared" si="2"/>
        <v>0.27522935779816254</v>
      </c>
      <c r="G49" s="15">
        <f t="shared" si="3"/>
        <v>31382</v>
      </c>
      <c r="H49" s="11">
        <v>0.27522935779816254</v>
      </c>
    </row>
    <row r="50" spans="1:8">
      <c r="A50" s="15">
        <f t="shared" si="0"/>
        <v>31413</v>
      </c>
      <c r="B50">
        <v>109.6</v>
      </c>
      <c r="C50" s="10">
        <f t="shared" si="1"/>
        <v>0.29999999999999716</v>
      </c>
      <c r="D50" s="16">
        <f t="shared" si="2"/>
        <v>0.27447392497712458</v>
      </c>
      <c r="G50" s="15">
        <f t="shared" si="3"/>
        <v>31413</v>
      </c>
      <c r="H50" s="11">
        <v>0.27447392497712458</v>
      </c>
    </row>
    <row r="51" spans="1:8">
      <c r="A51" s="15">
        <f t="shared" si="0"/>
        <v>31444</v>
      </c>
      <c r="B51">
        <v>109.3</v>
      </c>
      <c r="C51" s="10">
        <f t="shared" si="1"/>
        <v>-0.29999999999999716</v>
      </c>
      <c r="D51" s="16">
        <f t="shared" si="2"/>
        <v>-0.27372262773722367</v>
      </c>
      <c r="G51" s="15">
        <f t="shared" si="3"/>
        <v>31444</v>
      </c>
      <c r="H51" s="11">
        <v>-0.27372262773722367</v>
      </c>
    </row>
    <row r="52" spans="1:8">
      <c r="A52" s="15">
        <f t="shared" si="0"/>
        <v>31472</v>
      </c>
      <c r="B52">
        <v>108.8</v>
      </c>
      <c r="C52" s="10">
        <f t="shared" si="1"/>
        <v>-0.5</v>
      </c>
      <c r="D52" s="16">
        <f t="shared" si="2"/>
        <v>-0.45745654162854532</v>
      </c>
      <c r="G52" s="15">
        <f t="shared" si="3"/>
        <v>31472</v>
      </c>
      <c r="H52" s="11">
        <v>-0.45745654162854532</v>
      </c>
    </row>
    <row r="53" spans="1:8">
      <c r="A53" s="15">
        <f t="shared" si="0"/>
        <v>31503</v>
      </c>
      <c r="B53">
        <v>108.6</v>
      </c>
      <c r="C53" s="10">
        <f t="shared" si="1"/>
        <v>-0.20000000000000284</v>
      </c>
      <c r="D53" s="16">
        <f t="shared" si="2"/>
        <v>-0.18382352941176733</v>
      </c>
      <c r="G53" s="15">
        <f t="shared" si="3"/>
        <v>31503</v>
      </c>
      <c r="H53" s="11">
        <v>-0.18382352941176733</v>
      </c>
    </row>
    <row r="54" spans="1:8">
      <c r="A54" s="15">
        <f t="shared" si="0"/>
        <v>31533</v>
      </c>
      <c r="B54">
        <v>108.9</v>
      </c>
      <c r="C54" s="10">
        <f t="shared" si="1"/>
        <v>0.30000000000001137</v>
      </c>
      <c r="D54" s="16">
        <f t="shared" si="2"/>
        <v>0.27624309392266244</v>
      </c>
      <c r="G54" s="15">
        <f t="shared" si="3"/>
        <v>31533</v>
      </c>
      <c r="H54" s="11">
        <v>0.27624309392266244</v>
      </c>
    </row>
    <row r="55" spans="1:8">
      <c r="A55" s="15">
        <f t="shared" si="0"/>
        <v>31564</v>
      </c>
      <c r="B55">
        <v>109.5</v>
      </c>
      <c r="C55" s="10">
        <f t="shared" si="1"/>
        <v>0.59999999999999432</v>
      </c>
      <c r="D55" s="16">
        <f t="shared" si="2"/>
        <v>0.55096418732781838</v>
      </c>
      <c r="G55" s="15">
        <f t="shared" si="3"/>
        <v>31564</v>
      </c>
      <c r="H55" s="11">
        <v>0.55096418732781838</v>
      </c>
    </row>
    <row r="56" spans="1:8">
      <c r="A56" s="15">
        <f t="shared" si="0"/>
        <v>31594</v>
      </c>
      <c r="B56">
        <v>109.5</v>
      </c>
      <c r="C56" s="10">
        <f t="shared" si="1"/>
        <v>0</v>
      </c>
      <c r="D56" s="16">
        <f t="shared" si="2"/>
        <v>0</v>
      </c>
      <c r="G56" s="15">
        <f t="shared" si="3"/>
        <v>31594</v>
      </c>
      <c r="H56" s="11">
        <v>0</v>
      </c>
    </row>
    <row r="57" spans="1:8">
      <c r="A57" s="15">
        <f t="shared" si="0"/>
        <v>31625</v>
      </c>
      <c r="B57">
        <v>109.7</v>
      </c>
      <c r="C57" s="10">
        <f t="shared" si="1"/>
        <v>0.20000000000000284</v>
      </c>
      <c r="D57" s="16">
        <f t="shared" si="2"/>
        <v>0.18264840182648662</v>
      </c>
      <c r="G57" s="15">
        <f t="shared" si="3"/>
        <v>31625</v>
      </c>
      <c r="H57" s="11">
        <v>0.18264840182648662</v>
      </c>
    </row>
    <row r="58" spans="1:8">
      <c r="A58" s="15">
        <f t="shared" si="0"/>
        <v>31656</v>
      </c>
      <c r="B58">
        <v>110.2</v>
      </c>
      <c r="C58" s="10">
        <f t="shared" si="1"/>
        <v>0.5</v>
      </c>
      <c r="D58" s="16">
        <f t="shared" si="2"/>
        <v>0.45578851412944388</v>
      </c>
      <c r="G58" s="15">
        <f t="shared" si="3"/>
        <v>31656</v>
      </c>
      <c r="H58" s="11">
        <v>0.45578851412944388</v>
      </c>
    </row>
    <row r="59" spans="1:8">
      <c r="A59" s="15">
        <f t="shared" si="0"/>
        <v>31686</v>
      </c>
      <c r="B59">
        <v>110.3</v>
      </c>
      <c r="C59" s="10">
        <f t="shared" si="1"/>
        <v>9.9999999999994316E-2</v>
      </c>
      <c r="D59" s="16">
        <f t="shared" si="2"/>
        <v>9.0744101633388669E-2</v>
      </c>
      <c r="G59" s="15">
        <f t="shared" si="3"/>
        <v>31686</v>
      </c>
      <c r="H59" s="11">
        <v>9.0744101633388669E-2</v>
      </c>
    </row>
    <row r="60" spans="1:8">
      <c r="A60" s="15">
        <f t="shared" si="0"/>
        <v>31717</v>
      </c>
      <c r="B60">
        <v>110.4</v>
      </c>
      <c r="C60" s="10">
        <f t="shared" si="1"/>
        <v>0.10000000000000853</v>
      </c>
      <c r="D60" s="16">
        <f t="shared" si="2"/>
        <v>9.0661831369001383E-2</v>
      </c>
      <c r="G60" s="15">
        <f t="shared" si="3"/>
        <v>31717</v>
      </c>
      <c r="H60" s="11">
        <v>9.0661831369001383E-2</v>
      </c>
    </row>
    <row r="61" spans="1:8">
      <c r="A61" s="15">
        <f t="shared" si="0"/>
        <v>31747</v>
      </c>
      <c r="B61">
        <v>110.5</v>
      </c>
      <c r="C61" s="10">
        <f t="shared" si="1"/>
        <v>9.9999999999994316E-2</v>
      </c>
      <c r="D61" s="16">
        <f t="shared" si="2"/>
        <v>9.0579710144922387E-2</v>
      </c>
      <c r="G61" s="15">
        <f t="shared" si="3"/>
        <v>31747</v>
      </c>
      <c r="H61" s="11">
        <v>9.0579710144922387E-2</v>
      </c>
    </row>
    <row r="62" spans="1:8">
      <c r="A62" s="15">
        <f t="shared" si="0"/>
        <v>31778</v>
      </c>
      <c r="B62">
        <v>111.2</v>
      </c>
      <c r="C62" s="10">
        <f t="shared" si="1"/>
        <v>0.70000000000000284</v>
      </c>
      <c r="D62" s="16">
        <f t="shared" si="2"/>
        <v>0.63348416289593024</v>
      </c>
      <c r="G62" s="15">
        <f t="shared" si="3"/>
        <v>31778</v>
      </c>
      <c r="H62" s="11">
        <v>0.63348416289593024</v>
      </c>
    </row>
    <row r="63" spans="1:8">
      <c r="A63" s="15">
        <f t="shared" si="0"/>
        <v>31809</v>
      </c>
      <c r="B63">
        <v>111.6</v>
      </c>
      <c r="C63" s="10">
        <f t="shared" si="1"/>
        <v>0.39999999999999147</v>
      </c>
      <c r="D63" s="16">
        <f t="shared" si="2"/>
        <v>0.35971223021581966</v>
      </c>
      <c r="G63" s="15">
        <f t="shared" si="3"/>
        <v>31809</v>
      </c>
      <c r="H63" s="11">
        <v>0.35971223021581966</v>
      </c>
    </row>
    <row r="64" spans="1:8">
      <c r="A64" s="15">
        <f t="shared" si="0"/>
        <v>31837</v>
      </c>
      <c r="B64">
        <v>112.1</v>
      </c>
      <c r="C64" s="10">
        <f t="shared" si="1"/>
        <v>0.5</v>
      </c>
      <c r="D64" s="16">
        <f t="shared" si="2"/>
        <v>0.44802867383512551</v>
      </c>
      <c r="G64" s="15">
        <f t="shared" si="3"/>
        <v>31837</v>
      </c>
      <c r="H64" s="11">
        <v>0.44802867383512551</v>
      </c>
    </row>
    <row r="65" spans="1:8">
      <c r="A65" s="15">
        <f t="shared" si="0"/>
        <v>31868</v>
      </c>
      <c r="B65">
        <v>112.7</v>
      </c>
      <c r="C65" s="10">
        <f t="shared" si="1"/>
        <v>0.60000000000000853</v>
      </c>
      <c r="D65" s="16">
        <f t="shared" si="2"/>
        <v>0.53523639607494078</v>
      </c>
      <c r="G65" s="15">
        <f t="shared" si="3"/>
        <v>31868</v>
      </c>
      <c r="H65" s="11">
        <v>0.53523639607494078</v>
      </c>
    </row>
    <row r="66" spans="1:8">
      <c r="A66" s="15">
        <f t="shared" si="0"/>
        <v>31898</v>
      </c>
      <c r="B66">
        <v>113.1</v>
      </c>
      <c r="C66" s="10">
        <f t="shared" si="1"/>
        <v>0.39999999999999147</v>
      </c>
      <c r="D66" s="16">
        <f t="shared" si="2"/>
        <v>0.35492457852705545</v>
      </c>
      <c r="G66" s="15">
        <f t="shared" si="3"/>
        <v>31898</v>
      </c>
      <c r="H66" s="11">
        <v>0.35492457852705545</v>
      </c>
    </row>
    <row r="67" spans="1:8">
      <c r="A67" s="15">
        <f t="shared" si="0"/>
        <v>31929</v>
      </c>
      <c r="B67">
        <v>113.5</v>
      </c>
      <c r="C67" s="10">
        <f t="shared" si="1"/>
        <v>0.40000000000000568</v>
      </c>
      <c r="D67" s="16">
        <f t="shared" si="2"/>
        <v>0.35366931918656563</v>
      </c>
      <c r="G67" s="15">
        <f t="shared" si="3"/>
        <v>31929</v>
      </c>
      <c r="H67" s="11">
        <v>0.35366931918656563</v>
      </c>
    </row>
    <row r="68" spans="1:8">
      <c r="A68" s="15">
        <f t="shared" ref="A68:A131" si="4">EDATE(A67,1)</f>
        <v>31959</v>
      </c>
      <c r="B68">
        <v>113.8</v>
      </c>
      <c r="C68" s="10">
        <f t="shared" ref="C68:C131" si="5">B68-B67</f>
        <v>0.29999999999999716</v>
      </c>
      <c r="D68" s="16">
        <f t="shared" ref="D68:D131" si="6">(B68-B67)/B67*100</f>
        <v>0.26431718061673759</v>
      </c>
      <c r="G68" s="15">
        <f t="shared" ref="G68:G131" si="7">EDATE(G67,1)</f>
        <v>31959</v>
      </c>
      <c r="H68" s="11">
        <v>0.26431718061673759</v>
      </c>
    </row>
    <row r="69" spans="1:8">
      <c r="A69" s="15">
        <f t="shared" si="4"/>
        <v>31990</v>
      </c>
      <c r="B69">
        <v>114.4</v>
      </c>
      <c r="C69" s="10">
        <f t="shared" si="5"/>
        <v>0.60000000000000853</v>
      </c>
      <c r="D69" s="16">
        <f t="shared" si="6"/>
        <v>0.52724077328647501</v>
      </c>
      <c r="G69" s="15">
        <f t="shared" si="7"/>
        <v>31990</v>
      </c>
      <c r="H69" s="11">
        <v>0.52724077328647501</v>
      </c>
    </row>
    <row r="70" spans="1:8">
      <c r="A70" s="15">
        <f t="shared" si="4"/>
        <v>32021</v>
      </c>
      <c r="B70">
        <v>115</v>
      </c>
      <c r="C70" s="10">
        <f t="shared" si="5"/>
        <v>0.59999999999999432</v>
      </c>
      <c r="D70" s="16">
        <f t="shared" si="6"/>
        <v>0.52447552447551948</v>
      </c>
      <c r="G70" s="15">
        <f t="shared" si="7"/>
        <v>32021</v>
      </c>
      <c r="H70" s="11">
        <v>0.52447552447551948</v>
      </c>
    </row>
    <row r="71" spans="1:8">
      <c r="A71" s="15">
        <f t="shared" si="4"/>
        <v>32051</v>
      </c>
      <c r="B71">
        <v>115.3</v>
      </c>
      <c r="C71" s="10">
        <f t="shared" si="5"/>
        <v>0.29999999999999716</v>
      </c>
      <c r="D71" s="16">
        <f t="shared" si="6"/>
        <v>0.26086956521738885</v>
      </c>
      <c r="G71" s="15">
        <f t="shared" si="7"/>
        <v>32051</v>
      </c>
      <c r="H71" s="11">
        <v>0.26086956521738885</v>
      </c>
    </row>
    <row r="72" spans="1:8">
      <c r="A72" s="15">
        <f t="shared" si="4"/>
        <v>32082</v>
      </c>
      <c r="B72">
        <v>115.4</v>
      </c>
      <c r="C72" s="10">
        <f t="shared" si="5"/>
        <v>0.10000000000000853</v>
      </c>
      <c r="D72" s="16">
        <f t="shared" si="6"/>
        <v>8.6730268863840887E-2</v>
      </c>
      <c r="G72" s="15">
        <f t="shared" si="7"/>
        <v>32082</v>
      </c>
      <c r="H72" s="11">
        <v>8.6730268863840887E-2</v>
      </c>
    </row>
    <row r="73" spans="1:8">
      <c r="A73" s="15">
        <f t="shared" si="4"/>
        <v>32112</v>
      </c>
      <c r="B73">
        <v>115.4</v>
      </c>
      <c r="C73" s="10">
        <f t="shared" si="5"/>
        <v>0</v>
      </c>
      <c r="D73" s="16">
        <f t="shared" si="6"/>
        <v>0</v>
      </c>
      <c r="G73" s="15">
        <f t="shared" si="7"/>
        <v>32112</v>
      </c>
      <c r="H73" s="11">
        <v>0</v>
      </c>
    </row>
    <row r="74" spans="1:8">
      <c r="A74" s="15">
        <f t="shared" si="4"/>
        <v>32143</v>
      </c>
      <c r="B74">
        <v>115.7</v>
      </c>
      <c r="C74" s="10">
        <f t="shared" si="5"/>
        <v>0.29999999999999716</v>
      </c>
      <c r="D74" s="16">
        <f t="shared" si="6"/>
        <v>0.25996533795493687</v>
      </c>
      <c r="G74" s="15">
        <f t="shared" si="7"/>
        <v>32143</v>
      </c>
      <c r="H74" s="11">
        <v>0.25996533795493687</v>
      </c>
    </row>
    <row r="75" spans="1:8">
      <c r="A75" s="15">
        <f t="shared" si="4"/>
        <v>32174</v>
      </c>
      <c r="B75">
        <v>116</v>
      </c>
      <c r="C75" s="10">
        <f t="shared" si="5"/>
        <v>0.29999999999999716</v>
      </c>
      <c r="D75" s="16">
        <f t="shared" si="6"/>
        <v>0.25929127052722312</v>
      </c>
      <c r="G75" s="15">
        <f t="shared" si="7"/>
        <v>32174</v>
      </c>
      <c r="H75" s="11">
        <v>0.25929127052722312</v>
      </c>
    </row>
    <row r="76" spans="1:8">
      <c r="A76" s="15">
        <f t="shared" si="4"/>
        <v>32203</v>
      </c>
      <c r="B76">
        <v>116.5</v>
      </c>
      <c r="C76" s="10">
        <f t="shared" si="5"/>
        <v>0.5</v>
      </c>
      <c r="D76" s="16">
        <f t="shared" si="6"/>
        <v>0.43103448275862066</v>
      </c>
      <c r="G76" s="15">
        <f t="shared" si="7"/>
        <v>32203</v>
      </c>
      <c r="H76" s="11">
        <v>0.43103448275862066</v>
      </c>
    </row>
    <row r="77" spans="1:8">
      <c r="A77" s="15">
        <f t="shared" si="4"/>
        <v>32234</v>
      </c>
      <c r="B77">
        <v>117.1</v>
      </c>
      <c r="C77" s="10">
        <f t="shared" si="5"/>
        <v>0.59999999999999432</v>
      </c>
      <c r="D77" s="16">
        <f t="shared" si="6"/>
        <v>0.51502145922746301</v>
      </c>
      <c r="G77" s="15">
        <f t="shared" si="7"/>
        <v>32234</v>
      </c>
      <c r="H77" s="11">
        <v>0.51502145922746301</v>
      </c>
    </row>
    <row r="78" spans="1:8">
      <c r="A78" s="15">
        <f t="shared" si="4"/>
        <v>32264</v>
      </c>
      <c r="B78">
        <v>117.5</v>
      </c>
      <c r="C78" s="10">
        <f t="shared" si="5"/>
        <v>0.40000000000000568</v>
      </c>
      <c r="D78" s="16">
        <f t="shared" si="6"/>
        <v>0.34158838599488101</v>
      </c>
      <c r="G78" s="15">
        <f t="shared" si="7"/>
        <v>32264</v>
      </c>
      <c r="H78" s="11">
        <v>0.34158838599488101</v>
      </c>
    </row>
    <row r="79" spans="1:8">
      <c r="A79" s="15">
        <f t="shared" si="4"/>
        <v>32295</v>
      </c>
      <c r="B79">
        <v>118</v>
      </c>
      <c r="C79" s="10">
        <f t="shared" si="5"/>
        <v>0.5</v>
      </c>
      <c r="D79" s="16">
        <f t="shared" si="6"/>
        <v>0.42553191489361702</v>
      </c>
      <c r="G79" s="15">
        <f t="shared" si="7"/>
        <v>32295</v>
      </c>
      <c r="H79" s="11">
        <v>0.42553191489361702</v>
      </c>
    </row>
    <row r="80" spans="1:8">
      <c r="A80" s="15">
        <f t="shared" si="4"/>
        <v>32325</v>
      </c>
      <c r="B80">
        <v>118.5</v>
      </c>
      <c r="C80" s="10">
        <f t="shared" si="5"/>
        <v>0.5</v>
      </c>
      <c r="D80" s="16">
        <f t="shared" si="6"/>
        <v>0.42372881355932202</v>
      </c>
      <c r="G80" s="15">
        <f t="shared" si="7"/>
        <v>32325</v>
      </c>
      <c r="H80" s="11">
        <v>0.42372881355932202</v>
      </c>
    </row>
    <row r="81" spans="1:8">
      <c r="A81" s="15">
        <f t="shared" si="4"/>
        <v>32356</v>
      </c>
      <c r="B81">
        <v>119</v>
      </c>
      <c r="C81" s="10">
        <f t="shared" si="5"/>
        <v>0.5</v>
      </c>
      <c r="D81" s="16">
        <f t="shared" si="6"/>
        <v>0.42194092827004215</v>
      </c>
      <c r="G81" s="15">
        <f t="shared" si="7"/>
        <v>32356</v>
      </c>
      <c r="H81" s="11">
        <v>0.42194092827004215</v>
      </c>
    </row>
    <row r="82" spans="1:8">
      <c r="A82" s="15">
        <f t="shared" si="4"/>
        <v>32387</v>
      </c>
      <c r="B82">
        <v>119.8</v>
      </c>
      <c r="C82" s="10">
        <f t="shared" si="5"/>
        <v>0.79999999999999716</v>
      </c>
      <c r="D82" s="16">
        <f t="shared" si="6"/>
        <v>0.67226890756302282</v>
      </c>
      <c r="G82" s="15">
        <f t="shared" si="7"/>
        <v>32387</v>
      </c>
      <c r="H82" s="11">
        <v>0.67226890756302282</v>
      </c>
    </row>
    <row r="83" spans="1:8">
      <c r="A83" s="15">
        <f t="shared" si="4"/>
        <v>32417</v>
      </c>
      <c r="B83">
        <v>120.2</v>
      </c>
      <c r="C83" s="10">
        <f t="shared" si="5"/>
        <v>0.40000000000000568</v>
      </c>
      <c r="D83" s="16">
        <f t="shared" si="6"/>
        <v>0.33388981636060572</v>
      </c>
      <c r="G83" s="15">
        <f t="shared" si="7"/>
        <v>32417</v>
      </c>
      <c r="H83" s="11">
        <v>0.33388981636060572</v>
      </c>
    </row>
    <row r="84" spans="1:8">
      <c r="A84" s="15">
        <f t="shared" si="4"/>
        <v>32448</v>
      </c>
      <c r="B84">
        <v>120.3</v>
      </c>
      <c r="C84" s="10">
        <f t="shared" si="5"/>
        <v>9.9999999999994316E-2</v>
      </c>
      <c r="D84" s="16">
        <f t="shared" si="6"/>
        <v>8.3194675540760654E-2</v>
      </c>
      <c r="G84" s="15">
        <f t="shared" si="7"/>
        <v>32448</v>
      </c>
      <c r="H84" s="11">
        <v>8.3194675540760654E-2</v>
      </c>
    </row>
    <row r="85" spans="1:8">
      <c r="A85" s="15">
        <f t="shared" si="4"/>
        <v>32478</v>
      </c>
      <c r="B85">
        <v>120.5</v>
      </c>
      <c r="C85" s="10">
        <f t="shared" si="5"/>
        <v>0.20000000000000284</v>
      </c>
      <c r="D85" s="16">
        <f t="shared" si="6"/>
        <v>0.16625103906899655</v>
      </c>
      <c r="G85" s="15">
        <f t="shared" si="7"/>
        <v>32478</v>
      </c>
      <c r="H85" s="11">
        <v>0.16625103906899655</v>
      </c>
    </row>
    <row r="86" spans="1:8">
      <c r="A86" s="15">
        <f t="shared" si="4"/>
        <v>32509</v>
      </c>
      <c r="B86">
        <v>121.1</v>
      </c>
      <c r="C86" s="10">
        <f t="shared" si="5"/>
        <v>0.59999999999999432</v>
      </c>
      <c r="D86" s="16">
        <f t="shared" si="6"/>
        <v>0.49792531120331479</v>
      </c>
      <c r="G86" s="15">
        <f t="shared" si="7"/>
        <v>32509</v>
      </c>
      <c r="H86" s="11">
        <v>0.49792531120331479</v>
      </c>
    </row>
    <row r="87" spans="1:8">
      <c r="A87" s="15">
        <f t="shared" si="4"/>
        <v>32540</v>
      </c>
      <c r="B87">
        <v>121.6</v>
      </c>
      <c r="C87" s="10">
        <f t="shared" si="5"/>
        <v>0.5</v>
      </c>
      <c r="D87" s="16">
        <f t="shared" si="6"/>
        <v>0.41288191577208916</v>
      </c>
      <c r="G87" s="15">
        <f t="shared" si="7"/>
        <v>32540</v>
      </c>
      <c r="H87" s="11">
        <v>0.41288191577208916</v>
      </c>
    </row>
    <row r="88" spans="1:8">
      <c r="A88" s="15">
        <f t="shared" si="4"/>
        <v>32568</v>
      </c>
      <c r="B88">
        <v>122.3</v>
      </c>
      <c r="C88" s="10">
        <f t="shared" si="5"/>
        <v>0.70000000000000284</v>
      </c>
      <c r="D88" s="16">
        <f t="shared" si="6"/>
        <v>0.57565789473684448</v>
      </c>
      <c r="G88" s="15">
        <f t="shared" si="7"/>
        <v>32568</v>
      </c>
      <c r="H88" s="11">
        <v>0.57565789473684448</v>
      </c>
    </row>
    <row r="89" spans="1:8">
      <c r="A89" s="15">
        <f t="shared" si="4"/>
        <v>32599</v>
      </c>
      <c r="B89">
        <v>123.1</v>
      </c>
      <c r="C89" s="10">
        <f t="shared" si="5"/>
        <v>0.79999999999999716</v>
      </c>
      <c r="D89" s="16">
        <f t="shared" si="6"/>
        <v>0.65412919051512441</v>
      </c>
      <c r="G89" s="15">
        <f t="shared" si="7"/>
        <v>32599</v>
      </c>
      <c r="H89" s="11">
        <v>0.65412919051512441</v>
      </c>
    </row>
    <row r="90" spans="1:8">
      <c r="A90" s="15">
        <f t="shared" si="4"/>
        <v>32629</v>
      </c>
      <c r="B90">
        <v>123.8</v>
      </c>
      <c r="C90" s="10">
        <f t="shared" si="5"/>
        <v>0.70000000000000284</v>
      </c>
      <c r="D90" s="16">
        <f t="shared" si="6"/>
        <v>0.5686433793663711</v>
      </c>
      <c r="G90" s="15">
        <f t="shared" si="7"/>
        <v>32629</v>
      </c>
      <c r="H90" s="11">
        <v>0.5686433793663711</v>
      </c>
    </row>
    <row r="91" spans="1:8">
      <c r="A91" s="15">
        <f t="shared" si="4"/>
        <v>32660</v>
      </c>
      <c r="B91">
        <v>124.1</v>
      </c>
      <c r="C91" s="10">
        <f t="shared" si="5"/>
        <v>0.29999999999999716</v>
      </c>
      <c r="D91" s="16">
        <f t="shared" si="6"/>
        <v>0.24232633279482807</v>
      </c>
      <c r="G91" s="15">
        <f t="shared" si="7"/>
        <v>32660</v>
      </c>
      <c r="H91" s="11">
        <v>0.24232633279482807</v>
      </c>
    </row>
    <row r="92" spans="1:8">
      <c r="A92" s="15">
        <f t="shared" si="4"/>
        <v>32690</v>
      </c>
      <c r="B92">
        <v>124.4</v>
      </c>
      <c r="C92" s="10">
        <f t="shared" si="5"/>
        <v>0.30000000000001137</v>
      </c>
      <c r="D92" s="16">
        <f t="shared" si="6"/>
        <v>0.24174053182917918</v>
      </c>
      <c r="G92" s="15">
        <f t="shared" si="7"/>
        <v>32690</v>
      </c>
      <c r="H92" s="11">
        <v>0.24174053182917918</v>
      </c>
    </row>
    <row r="93" spans="1:8">
      <c r="A93" s="15">
        <f t="shared" si="4"/>
        <v>32721</v>
      </c>
      <c r="B93">
        <v>124.6</v>
      </c>
      <c r="C93" s="10">
        <f t="shared" si="5"/>
        <v>0.19999999999998863</v>
      </c>
      <c r="D93" s="16">
        <f t="shared" si="6"/>
        <v>0.16077170418005515</v>
      </c>
      <c r="G93" s="15">
        <f t="shared" si="7"/>
        <v>32721</v>
      </c>
      <c r="H93" s="11">
        <v>0.16077170418005515</v>
      </c>
    </row>
    <row r="94" spans="1:8">
      <c r="A94" s="15">
        <f t="shared" si="4"/>
        <v>32752</v>
      </c>
      <c r="B94">
        <v>125</v>
      </c>
      <c r="C94" s="10">
        <f t="shared" si="5"/>
        <v>0.40000000000000568</v>
      </c>
      <c r="D94" s="16">
        <f t="shared" si="6"/>
        <v>0.32102728731942676</v>
      </c>
      <c r="G94" s="15">
        <f t="shared" si="7"/>
        <v>32752</v>
      </c>
      <c r="H94" s="11">
        <v>0.32102728731942676</v>
      </c>
    </row>
    <row r="95" spans="1:8">
      <c r="A95" s="15">
        <f t="shared" si="4"/>
        <v>32782</v>
      </c>
      <c r="B95">
        <v>125.6</v>
      </c>
      <c r="C95" s="10">
        <f t="shared" si="5"/>
        <v>0.59999999999999432</v>
      </c>
      <c r="D95" s="16">
        <f t="shared" si="6"/>
        <v>0.47999999999999543</v>
      </c>
      <c r="G95" s="15">
        <f t="shared" si="7"/>
        <v>32782</v>
      </c>
      <c r="H95" s="11">
        <v>0.47999999999999543</v>
      </c>
    </row>
    <row r="96" spans="1:8">
      <c r="A96" s="15">
        <f t="shared" si="4"/>
        <v>32813</v>
      </c>
      <c r="B96">
        <v>125.9</v>
      </c>
      <c r="C96" s="10">
        <f t="shared" si="5"/>
        <v>0.30000000000001137</v>
      </c>
      <c r="D96" s="16">
        <f t="shared" si="6"/>
        <v>0.23885350318472243</v>
      </c>
      <c r="G96" s="15">
        <f t="shared" si="7"/>
        <v>32813</v>
      </c>
      <c r="H96" s="11">
        <v>0.23885350318472243</v>
      </c>
    </row>
    <row r="97" spans="1:8">
      <c r="A97" s="15">
        <f t="shared" si="4"/>
        <v>32843</v>
      </c>
      <c r="B97">
        <v>126.1</v>
      </c>
      <c r="C97" s="10">
        <f t="shared" si="5"/>
        <v>0.19999999999998863</v>
      </c>
      <c r="D97" s="16">
        <f t="shared" si="6"/>
        <v>0.15885623510721894</v>
      </c>
      <c r="G97" s="15">
        <f t="shared" si="7"/>
        <v>32843</v>
      </c>
      <c r="H97" s="11">
        <v>0.15885623510721894</v>
      </c>
    </row>
    <row r="98" spans="1:8">
      <c r="A98" s="15">
        <f t="shared" si="4"/>
        <v>32874</v>
      </c>
      <c r="B98">
        <v>127.4</v>
      </c>
      <c r="C98" s="10">
        <f t="shared" si="5"/>
        <v>1.3000000000000114</v>
      </c>
      <c r="D98" s="16">
        <f t="shared" si="6"/>
        <v>1.0309278350515554</v>
      </c>
      <c r="G98" s="15">
        <f t="shared" si="7"/>
        <v>32874</v>
      </c>
      <c r="H98" s="11">
        <v>1.0309278350515554</v>
      </c>
    </row>
    <row r="99" spans="1:8">
      <c r="A99" s="15">
        <f t="shared" si="4"/>
        <v>32905</v>
      </c>
      <c r="B99">
        <v>128</v>
      </c>
      <c r="C99" s="10">
        <f t="shared" si="5"/>
        <v>0.59999999999999432</v>
      </c>
      <c r="D99" s="16">
        <f t="shared" si="6"/>
        <v>0.47095761381475221</v>
      </c>
      <c r="G99" s="15">
        <f t="shared" si="7"/>
        <v>32905</v>
      </c>
      <c r="H99" s="11">
        <v>0.47095761381475221</v>
      </c>
    </row>
    <row r="100" spans="1:8">
      <c r="A100" s="15">
        <f t="shared" si="4"/>
        <v>32933</v>
      </c>
      <c r="B100">
        <v>128.69999999999999</v>
      </c>
      <c r="C100" s="10">
        <f t="shared" si="5"/>
        <v>0.69999999999998863</v>
      </c>
      <c r="D100" s="16">
        <f t="shared" si="6"/>
        <v>0.54687499999999112</v>
      </c>
      <c r="G100" s="15">
        <f t="shared" si="7"/>
        <v>32933</v>
      </c>
      <c r="H100" s="11">
        <v>0.54687499999999112</v>
      </c>
    </row>
    <row r="101" spans="1:8">
      <c r="A101" s="15">
        <f t="shared" si="4"/>
        <v>32964</v>
      </c>
      <c r="B101">
        <v>128.9</v>
      </c>
      <c r="C101" s="10">
        <f t="shared" si="5"/>
        <v>0.20000000000001705</v>
      </c>
      <c r="D101" s="16">
        <f t="shared" si="6"/>
        <v>0.15540015540016866</v>
      </c>
      <c r="G101" s="15">
        <f t="shared" si="7"/>
        <v>32964</v>
      </c>
      <c r="H101" s="11">
        <v>0.15540015540016866</v>
      </c>
    </row>
    <row r="102" spans="1:8">
      <c r="A102" s="15">
        <f t="shared" si="4"/>
        <v>32994</v>
      </c>
      <c r="B102">
        <v>129.19999999999999</v>
      </c>
      <c r="C102" s="10">
        <f t="shared" si="5"/>
        <v>0.29999999999998295</v>
      </c>
      <c r="D102" s="16">
        <f t="shared" si="6"/>
        <v>0.23273855702093324</v>
      </c>
      <c r="G102" s="15">
        <f t="shared" si="7"/>
        <v>32994</v>
      </c>
      <c r="H102" s="11">
        <v>0.23273855702093324</v>
      </c>
    </row>
    <row r="103" spans="1:8">
      <c r="A103" s="15">
        <f t="shared" si="4"/>
        <v>33025</v>
      </c>
      <c r="B103">
        <v>129.9</v>
      </c>
      <c r="C103" s="10">
        <f t="shared" si="5"/>
        <v>0.70000000000001705</v>
      </c>
      <c r="D103" s="16">
        <f t="shared" si="6"/>
        <v>0.54179566563468817</v>
      </c>
      <c r="G103" s="15">
        <f t="shared" si="7"/>
        <v>33025</v>
      </c>
      <c r="H103" s="11">
        <v>0.54179566563468817</v>
      </c>
    </row>
    <row r="104" spans="1:8">
      <c r="A104" s="15">
        <f t="shared" si="4"/>
        <v>33055</v>
      </c>
      <c r="B104">
        <v>130.4</v>
      </c>
      <c r="C104" s="10">
        <f t="shared" si="5"/>
        <v>0.5</v>
      </c>
      <c r="D104" s="16">
        <f t="shared" si="6"/>
        <v>0.38491147036181672</v>
      </c>
      <c r="G104" s="15">
        <f t="shared" si="7"/>
        <v>33055</v>
      </c>
      <c r="H104" s="11">
        <v>0.38491147036181672</v>
      </c>
    </row>
    <row r="105" spans="1:8">
      <c r="A105" s="15">
        <f t="shared" si="4"/>
        <v>33086</v>
      </c>
      <c r="B105">
        <v>131.6</v>
      </c>
      <c r="C105" s="10">
        <f t="shared" si="5"/>
        <v>1.1999999999999886</v>
      </c>
      <c r="D105" s="16">
        <f t="shared" si="6"/>
        <v>0.92024539877299738</v>
      </c>
      <c r="G105" s="15">
        <f t="shared" si="7"/>
        <v>33086</v>
      </c>
      <c r="H105" s="11">
        <v>0.92024539877299738</v>
      </c>
    </row>
    <row r="106" spans="1:8">
      <c r="A106" s="15">
        <f t="shared" si="4"/>
        <v>33117</v>
      </c>
      <c r="B106">
        <v>132.69999999999999</v>
      </c>
      <c r="C106" s="10">
        <f t="shared" si="5"/>
        <v>1.0999999999999943</v>
      </c>
      <c r="D106" s="16">
        <f t="shared" si="6"/>
        <v>0.83586626139817211</v>
      </c>
      <c r="G106" s="15">
        <f t="shared" si="7"/>
        <v>33117</v>
      </c>
      <c r="H106" s="11">
        <v>0.83586626139817211</v>
      </c>
    </row>
    <row r="107" spans="1:8">
      <c r="A107" s="15">
        <f t="shared" si="4"/>
        <v>33147</v>
      </c>
      <c r="B107">
        <v>133.5</v>
      </c>
      <c r="C107" s="10">
        <f t="shared" si="5"/>
        <v>0.80000000000001137</v>
      </c>
      <c r="D107" s="16">
        <f t="shared" si="6"/>
        <v>0.6028636021100312</v>
      </c>
      <c r="G107" s="15">
        <f t="shared" si="7"/>
        <v>33147</v>
      </c>
      <c r="H107" s="11">
        <v>0.6028636021100312</v>
      </c>
    </row>
    <row r="108" spans="1:8">
      <c r="A108" s="15">
        <f t="shared" si="4"/>
        <v>33178</v>
      </c>
      <c r="B108">
        <v>133.80000000000001</v>
      </c>
      <c r="C108" s="10">
        <f t="shared" si="5"/>
        <v>0.30000000000001137</v>
      </c>
      <c r="D108" s="16">
        <f t="shared" si="6"/>
        <v>0.22471910112360402</v>
      </c>
      <c r="G108" s="15">
        <f t="shared" si="7"/>
        <v>33178</v>
      </c>
      <c r="H108" s="11">
        <v>0.22471910112360402</v>
      </c>
    </row>
    <row r="109" spans="1:8">
      <c r="A109" s="15">
        <f t="shared" si="4"/>
        <v>33208</v>
      </c>
      <c r="B109">
        <v>133.80000000000001</v>
      </c>
      <c r="C109" s="10">
        <f t="shared" si="5"/>
        <v>0</v>
      </c>
      <c r="D109" s="16">
        <f t="shared" si="6"/>
        <v>0</v>
      </c>
      <c r="G109" s="15">
        <f t="shared" si="7"/>
        <v>33208</v>
      </c>
      <c r="H109" s="11">
        <v>0</v>
      </c>
    </row>
    <row r="110" spans="1:8">
      <c r="A110" s="15">
        <f t="shared" si="4"/>
        <v>33239</v>
      </c>
      <c r="B110">
        <v>134.6</v>
      </c>
      <c r="C110" s="10">
        <f t="shared" si="5"/>
        <v>0.79999999999998295</v>
      </c>
      <c r="D110" s="16">
        <f t="shared" si="6"/>
        <v>0.59790732436471061</v>
      </c>
      <c r="G110" s="15">
        <f t="shared" si="7"/>
        <v>33239</v>
      </c>
      <c r="H110" s="11">
        <v>0.59790732436471061</v>
      </c>
    </row>
    <row r="111" spans="1:8">
      <c r="A111" s="15">
        <f t="shared" si="4"/>
        <v>33270</v>
      </c>
      <c r="B111">
        <v>134.80000000000001</v>
      </c>
      <c r="C111" s="10">
        <f t="shared" si="5"/>
        <v>0.20000000000001705</v>
      </c>
      <c r="D111" s="16">
        <f t="shared" si="6"/>
        <v>0.14858841010402457</v>
      </c>
      <c r="G111" s="15">
        <f t="shared" si="7"/>
        <v>33270</v>
      </c>
      <c r="H111" s="11">
        <v>0.14858841010402457</v>
      </c>
    </row>
    <row r="112" spans="1:8">
      <c r="A112" s="15">
        <f t="shared" si="4"/>
        <v>33298</v>
      </c>
      <c r="B112">
        <v>135</v>
      </c>
      <c r="C112" s="10">
        <f t="shared" si="5"/>
        <v>0.19999999999998863</v>
      </c>
      <c r="D112" s="16">
        <f t="shared" si="6"/>
        <v>0.14836795252224674</v>
      </c>
      <c r="G112" s="15">
        <f t="shared" si="7"/>
        <v>33298</v>
      </c>
      <c r="H112" s="11">
        <v>0.14836795252224674</v>
      </c>
    </row>
    <row r="113" spans="1:8">
      <c r="A113" s="15">
        <f t="shared" si="4"/>
        <v>33329</v>
      </c>
      <c r="B113">
        <v>135.19999999999999</v>
      </c>
      <c r="C113" s="10">
        <f t="shared" si="5"/>
        <v>0.19999999999998863</v>
      </c>
      <c r="D113" s="16">
        <f t="shared" si="6"/>
        <v>0.14814814814813973</v>
      </c>
      <c r="G113" s="15">
        <f t="shared" si="7"/>
        <v>33329</v>
      </c>
      <c r="H113" s="11">
        <v>0.14814814814813973</v>
      </c>
    </row>
    <row r="114" spans="1:8">
      <c r="A114" s="15">
        <f t="shared" si="4"/>
        <v>33359</v>
      </c>
      <c r="B114">
        <v>135.6</v>
      </c>
      <c r="C114" s="10">
        <f t="shared" si="5"/>
        <v>0.40000000000000568</v>
      </c>
      <c r="D114" s="16">
        <f t="shared" si="6"/>
        <v>0.2958579881656847</v>
      </c>
      <c r="G114" s="15">
        <f t="shared" si="7"/>
        <v>33359</v>
      </c>
      <c r="H114" s="11">
        <v>0.2958579881656847</v>
      </c>
    </row>
    <row r="115" spans="1:8">
      <c r="A115" s="15">
        <f t="shared" si="4"/>
        <v>33390</v>
      </c>
      <c r="B115">
        <v>136</v>
      </c>
      <c r="C115" s="10">
        <f t="shared" si="5"/>
        <v>0.40000000000000568</v>
      </c>
      <c r="D115" s="16">
        <f t="shared" si="6"/>
        <v>0.29498525073746734</v>
      </c>
      <c r="G115" s="15">
        <f t="shared" si="7"/>
        <v>33390</v>
      </c>
      <c r="H115" s="11">
        <v>0.29498525073746734</v>
      </c>
    </row>
    <row r="116" spans="1:8">
      <c r="A116" s="15">
        <f t="shared" si="4"/>
        <v>33420</v>
      </c>
      <c r="B116">
        <v>136.19999999999999</v>
      </c>
      <c r="C116" s="10">
        <f t="shared" si="5"/>
        <v>0.19999999999998863</v>
      </c>
      <c r="D116" s="16">
        <f t="shared" si="6"/>
        <v>0.14705882352940342</v>
      </c>
      <c r="G116" s="15">
        <f t="shared" si="7"/>
        <v>33420</v>
      </c>
      <c r="H116" s="11">
        <v>0.14705882352940342</v>
      </c>
    </row>
    <row r="117" spans="1:8">
      <c r="A117" s="15">
        <f t="shared" si="4"/>
        <v>33451</v>
      </c>
      <c r="B117">
        <v>136.6</v>
      </c>
      <c r="C117" s="10">
        <f t="shared" si="5"/>
        <v>0.40000000000000568</v>
      </c>
      <c r="D117" s="16">
        <f t="shared" si="6"/>
        <v>0.29368575624082649</v>
      </c>
      <c r="G117" s="15">
        <f t="shared" si="7"/>
        <v>33451</v>
      </c>
      <c r="H117" s="11">
        <v>0.29368575624082649</v>
      </c>
    </row>
    <row r="118" spans="1:8">
      <c r="A118" s="15">
        <f t="shared" si="4"/>
        <v>33482</v>
      </c>
      <c r="B118">
        <v>137.19999999999999</v>
      </c>
      <c r="C118" s="10">
        <f t="shared" si="5"/>
        <v>0.59999999999999432</v>
      </c>
      <c r="D118" s="16">
        <f t="shared" si="6"/>
        <v>0.43923865300145998</v>
      </c>
      <c r="G118" s="15">
        <f t="shared" si="7"/>
        <v>33482</v>
      </c>
      <c r="H118" s="11">
        <v>0.43923865300145998</v>
      </c>
    </row>
    <row r="119" spans="1:8">
      <c r="A119" s="15">
        <f t="shared" si="4"/>
        <v>33512</v>
      </c>
      <c r="B119">
        <v>137.4</v>
      </c>
      <c r="C119" s="10">
        <f t="shared" si="5"/>
        <v>0.20000000000001705</v>
      </c>
      <c r="D119" s="16">
        <f t="shared" si="6"/>
        <v>0.14577259475219903</v>
      </c>
      <c r="G119" s="15">
        <f t="shared" si="7"/>
        <v>33512</v>
      </c>
      <c r="H119" s="11">
        <v>0.14577259475219903</v>
      </c>
    </row>
    <row r="120" spans="1:8">
      <c r="A120" s="15">
        <f t="shared" si="4"/>
        <v>33543</v>
      </c>
      <c r="B120">
        <v>137.80000000000001</v>
      </c>
      <c r="C120" s="10">
        <f t="shared" si="5"/>
        <v>0.40000000000000568</v>
      </c>
      <c r="D120" s="16">
        <f t="shared" si="6"/>
        <v>0.29112081513828653</v>
      </c>
      <c r="G120" s="15">
        <f t="shared" si="7"/>
        <v>33543</v>
      </c>
      <c r="H120" s="11">
        <v>0.29112081513828653</v>
      </c>
    </row>
    <row r="121" spans="1:8">
      <c r="A121" s="15">
        <f t="shared" si="4"/>
        <v>33573</v>
      </c>
      <c r="B121">
        <v>137.9</v>
      </c>
      <c r="C121" s="10">
        <f t="shared" si="5"/>
        <v>9.9999999999994316E-2</v>
      </c>
      <c r="D121" s="16">
        <f t="shared" si="6"/>
        <v>7.256894049346467E-2</v>
      </c>
      <c r="G121" s="15">
        <f t="shared" si="7"/>
        <v>33573</v>
      </c>
      <c r="H121" s="11">
        <v>7.256894049346467E-2</v>
      </c>
    </row>
    <row r="122" spans="1:8">
      <c r="A122" s="15">
        <f t="shared" si="4"/>
        <v>33604</v>
      </c>
      <c r="B122">
        <v>138.1</v>
      </c>
      <c r="C122" s="10">
        <f t="shared" si="5"/>
        <v>0.19999999999998863</v>
      </c>
      <c r="D122" s="16">
        <f t="shared" si="6"/>
        <v>0.14503263234226876</v>
      </c>
      <c r="G122" s="15">
        <f t="shared" si="7"/>
        <v>33604</v>
      </c>
      <c r="H122" s="11">
        <v>0.14503263234226876</v>
      </c>
    </row>
    <row r="123" spans="1:8">
      <c r="A123" s="15">
        <f t="shared" si="4"/>
        <v>33635</v>
      </c>
      <c r="B123">
        <v>138.6</v>
      </c>
      <c r="C123" s="10">
        <f t="shared" si="5"/>
        <v>0.5</v>
      </c>
      <c r="D123" s="16">
        <f t="shared" si="6"/>
        <v>0.3620564808110065</v>
      </c>
      <c r="G123" s="15">
        <f t="shared" si="7"/>
        <v>33635</v>
      </c>
      <c r="H123" s="11">
        <v>0.3620564808110065</v>
      </c>
    </row>
    <row r="124" spans="1:8">
      <c r="A124" s="15">
        <f t="shared" si="4"/>
        <v>33664</v>
      </c>
      <c r="B124">
        <v>139.30000000000001</v>
      </c>
      <c r="C124" s="10">
        <f t="shared" si="5"/>
        <v>0.70000000000001705</v>
      </c>
      <c r="D124" s="16">
        <f t="shared" si="6"/>
        <v>0.50505050505051741</v>
      </c>
      <c r="G124" s="15">
        <f t="shared" si="7"/>
        <v>33664</v>
      </c>
      <c r="H124" s="11">
        <v>0.50505050505051741</v>
      </c>
    </row>
    <row r="125" spans="1:8">
      <c r="A125" s="15">
        <f t="shared" si="4"/>
        <v>33695</v>
      </c>
      <c r="B125">
        <v>139.5</v>
      </c>
      <c r="C125" s="10">
        <f t="shared" si="5"/>
        <v>0.19999999999998863</v>
      </c>
      <c r="D125" s="16">
        <f t="shared" si="6"/>
        <v>0.14357501794686908</v>
      </c>
      <c r="G125" s="15">
        <f t="shared" si="7"/>
        <v>33695</v>
      </c>
      <c r="H125" s="11">
        <v>0.14357501794686908</v>
      </c>
    </row>
    <row r="126" spans="1:8">
      <c r="A126" s="15">
        <f t="shared" si="4"/>
        <v>33725</v>
      </c>
      <c r="B126">
        <v>139.69999999999999</v>
      </c>
      <c r="C126" s="10">
        <f t="shared" si="5"/>
        <v>0.19999999999998863</v>
      </c>
      <c r="D126" s="16">
        <f t="shared" si="6"/>
        <v>0.143369175627232</v>
      </c>
      <c r="G126" s="15">
        <f t="shared" si="7"/>
        <v>33725</v>
      </c>
      <c r="H126" s="11">
        <v>0.143369175627232</v>
      </c>
    </row>
    <row r="127" spans="1:8">
      <c r="A127" s="15">
        <f t="shared" si="4"/>
        <v>33756</v>
      </c>
      <c r="B127">
        <v>140.19999999999999</v>
      </c>
      <c r="C127" s="10">
        <f t="shared" si="5"/>
        <v>0.5</v>
      </c>
      <c r="D127" s="16">
        <f t="shared" si="6"/>
        <v>0.35790980672870443</v>
      </c>
      <c r="G127" s="15">
        <f t="shared" si="7"/>
        <v>33756</v>
      </c>
      <c r="H127" s="11">
        <v>0.35790980672870443</v>
      </c>
    </row>
    <row r="128" spans="1:8">
      <c r="A128" s="15">
        <f t="shared" si="4"/>
        <v>33786</v>
      </c>
      <c r="B128">
        <v>140.5</v>
      </c>
      <c r="C128" s="10">
        <f t="shared" si="5"/>
        <v>0.30000000000001137</v>
      </c>
      <c r="D128" s="16">
        <f t="shared" si="6"/>
        <v>0.2139800285306786</v>
      </c>
      <c r="G128" s="15">
        <f t="shared" si="7"/>
        <v>33786</v>
      </c>
      <c r="H128" s="11">
        <v>0.2139800285306786</v>
      </c>
    </row>
    <row r="129" spans="1:8">
      <c r="A129" s="15">
        <f t="shared" si="4"/>
        <v>33817</v>
      </c>
      <c r="B129">
        <v>140.9</v>
      </c>
      <c r="C129" s="10">
        <f t="shared" si="5"/>
        <v>0.40000000000000568</v>
      </c>
      <c r="D129" s="16">
        <f t="shared" si="6"/>
        <v>0.28469750889680123</v>
      </c>
      <c r="G129" s="15">
        <f t="shared" si="7"/>
        <v>33817</v>
      </c>
      <c r="H129" s="11">
        <v>0.28469750889680123</v>
      </c>
    </row>
    <row r="130" spans="1:8">
      <c r="A130" s="15">
        <f t="shared" si="4"/>
        <v>33848</v>
      </c>
      <c r="B130">
        <v>141.30000000000001</v>
      </c>
      <c r="C130" s="10">
        <f t="shared" si="5"/>
        <v>0.40000000000000568</v>
      </c>
      <c r="D130" s="16">
        <f t="shared" si="6"/>
        <v>0.28388928317956402</v>
      </c>
      <c r="G130" s="15">
        <f t="shared" si="7"/>
        <v>33848</v>
      </c>
      <c r="H130" s="11">
        <v>0.28388928317956402</v>
      </c>
    </row>
    <row r="131" spans="1:8">
      <c r="A131" s="15">
        <f t="shared" si="4"/>
        <v>33878</v>
      </c>
      <c r="B131">
        <v>141.80000000000001</v>
      </c>
      <c r="C131" s="10">
        <f t="shared" si="5"/>
        <v>0.5</v>
      </c>
      <c r="D131" s="16">
        <f t="shared" si="6"/>
        <v>0.35385704175513089</v>
      </c>
      <c r="G131" s="15">
        <f t="shared" si="7"/>
        <v>33878</v>
      </c>
      <c r="H131" s="11">
        <v>0.35385704175513089</v>
      </c>
    </row>
    <row r="132" spans="1:8">
      <c r="A132" s="15">
        <f t="shared" ref="A132:A195" si="8">EDATE(A131,1)</f>
        <v>33909</v>
      </c>
      <c r="B132">
        <v>142</v>
      </c>
      <c r="C132" s="10">
        <f t="shared" ref="C132:C195" si="9">B132-B131</f>
        <v>0.19999999999998863</v>
      </c>
      <c r="D132" s="16">
        <f t="shared" ref="D132:D195" si="10">(B132-B131)/B131*100</f>
        <v>0.14104372355429382</v>
      </c>
      <c r="G132" s="15">
        <f t="shared" ref="G132:G195" si="11">EDATE(G131,1)</f>
        <v>33909</v>
      </c>
      <c r="H132" s="11">
        <v>0.14104372355429382</v>
      </c>
    </row>
    <row r="133" spans="1:8">
      <c r="A133" s="15">
        <f t="shared" si="8"/>
        <v>33939</v>
      </c>
      <c r="B133">
        <v>141.9</v>
      </c>
      <c r="C133" s="10">
        <f t="shared" si="9"/>
        <v>-9.9999999999994316E-2</v>
      </c>
      <c r="D133" s="16">
        <f t="shared" si="10"/>
        <v>-7.0422535211263598E-2</v>
      </c>
      <c r="G133" s="15">
        <f t="shared" si="11"/>
        <v>33939</v>
      </c>
      <c r="H133" s="11">
        <v>-7.0422535211263598E-2</v>
      </c>
    </row>
    <row r="134" spans="1:8">
      <c r="A134" s="15">
        <f t="shared" si="8"/>
        <v>33970</v>
      </c>
      <c r="B134">
        <v>142.6</v>
      </c>
      <c r="C134" s="10">
        <f t="shared" si="9"/>
        <v>0.69999999999998863</v>
      </c>
      <c r="D134" s="16">
        <f t="shared" si="10"/>
        <v>0.49330514446792717</v>
      </c>
      <c r="G134" s="15">
        <f t="shared" si="11"/>
        <v>33970</v>
      </c>
      <c r="H134" s="11">
        <v>0.49330514446792717</v>
      </c>
    </row>
    <row r="135" spans="1:8">
      <c r="A135" s="15">
        <f t="shared" si="8"/>
        <v>34001</v>
      </c>
      <c r="B135">
        <v>143.1</v>
      </c>
      <c r="C135" s="10">
        <f t="shared" si="9"/>
        <v>0.5</v>
      </c>
      <c r="D135" s="16">
        <f t="shared" si="10"/>
        <v>0.35063113604488083</v>
      </c>
      <c r="G135" s="15">
        <f t="shared" si="11"/>
        <v>34001</v>
      </c>
      <c r="H135" s="11">
        <v>0.35063113604488083</v>
      </c>
    </row>
    <row r="136" spans="1:8">
      <c r="A136" s="15">
        <f t="shared" si="8"/>
        <v>34029</v>
      </c>
      <c r="B136">
        <v>143.6</v>
      </c>
      <c r="C136" s="10">
        <f t="shared" si="9"/>
        <v>0.5</v>
      </c>
      <c r="D136" s="16">
        <f t="shared" si="10"/>
        <v>0.34940600978336828</v>
      </c>
      <c r="G136" s="15">
        <f t="shared" si="11"/>
        <v>34029</v>
      </c>
      <c r="H136" s="11">
        <v>0.34940600978336828</v>
      </c>
    </row>
    <row r="137" spans="1:8">
      <c r="A137" s="15">
        <f t="shared" si="8"/>
        <v>34060</v>
      </c>
      <c r="B137">
        <v>144</v>
      </c>
      <c r="C137" s="10">
        <f t="shared" si="9"/>
        <v>0.40000000000000568</v>
      </c>
      <c r="D137" s="16">
        <f t="shared" si="10"/>
        <v>0.27855153203343019</v>
      </c>
      <c r="G137" s="15">
        <f t="shared" si="11"/>
        <v>34060</v>
      </c>
      <c r="H137" s="11">
        <v>0.27855153203343019</v>
      </c>
    </row>
    <row r="138" spans="1:8">
      <c r="A138" s="15">
        <f t="shared" si="8"/>
        <v>34090</v>
      </c>
      <c r="B138">
        <v>144.19999999999999</v>
      </c>
      <c r="C138" s="10">
        <f t="shared" si="9"/>
        <v>0.19999999999998863</v>
      </c>
      <c r="D138" s="16">
        <f t="shared" si="10"/>
        <v>0.13888888888888101</v>
      </c>
      <c r="G138" s="15">
        <f t="shared" si="11"/>
        <v>34090</v>
      </c>
      <c r="H138" s="11">
        <v>0.13888888888888101</v>
      </c>
    </row>
    <row r="139" spans="1:8">
      <c r="A139" s="15">
        <f t="shared" si="8"/>
        <v>34121</v>
      </c>
      <c r="B139">
        <v>144.4</v>
      </c>
      <c r="C139" s="10">
        <f t="shared" si="9"/>
        <v>0.20000000000001705</v>
      </c>
      <c r="D139" s="16">
        <f t="shared" si="10"/>
        <v>0.13869625520112142</v>
      </c>
      <c r="G139" s="15">
        <f t="shared" si="11"/>
        <v>34121</v>
      </c>
      <c r="H139" s="11">
        <v>0.13869625520112142</v>
      </c>
    </row>
    <row r="140" spans="1:8">
      <c r="A140" s="15">
        <f t="shared" si="8"/>
        <v>34151</v>
      </c>
      <c r="B140">
        <v>144.4</v>
      </c>
      <c r="C140" s="10">
        <f t="shared" si="9"/>
        <v>0</v>
      </c>
      <c r="D140" s="16">
        <f t="shared" si="10"/>
        <v>0</v>
      </c>
      <c r="G140" s="15">
        <f t="shared" si="11"/>
        <v>34151</v>
      </c>
      <c r="H140" s="11">
        <v>0</v>
      </c>
    </row>
    <row r="141" spans="1:8">
      <c r="A141" s="15">
        <f t="shared" si="8"/>
        <v>34182</v>
      </c>
      <c r="B141">
        <v>144.80000000000001</v>
      </c>
      <c r="C141" s="10">
        <f t="shared" si="9"/>
        <v>0.40000000000000568</v>
      </c>
      <c r="D141" s="16">
        <f t="shared" si="10"/>
        <v>0.27700831024931144</v>
      </c>
      <c r="G141" s="15">
        <f t="shared" si="11"/>
        <v>34182</v>
      </c>
      <c r="H141" s="11">
        <v>0.27700831024931144</v>
      </c>
    </row>
    <row r="142" spans="1:8">
      <c r="A142" s="15">
        <f t="shared" si="8"/>
        <v>34213</v>
      </c>
      <c r="B142">
        <v>145.1</v>
      </c>
      <c r="C142" s="10">
        <f t="shared" si="9"/>
        <v>0.29999999999998295</v>
      </c>
      <c r="D142" s="16">
        <f t="shared" si="10"/>
        <v>0.20718232044197715</v>
      </c>
      <c r="G142" s="15">
        <f t="shared" si="11"/>
        <v>34213</v>
      </c>
      <c r="H142" s="11">
        <v>0.20718232044197715</v>
      </c>
    </row>
    <row r="143" spans="1:8">
      <c r="A143" s="15">
        <f t="shared" si="8"/>
        <v>34243</v>
      </c>
      <c r="B143">
        <v>145.69999999999999</v>
      </c>
      <c r="C143" s="10">
        <f t="shared" si="9"/>
        <v>0.59999999999999432</v>
      </c>
      <c r="D143" s="16">
        <f t="shared" si="10"/>
        <v>0.41350792556856947</v>
      </c>
      <c r="G143" s="15">
        <f t="shared" si="11"/>
        <v>34243</v>
      </c>
      <c r="H143" s="11">
        <v>0.41350792556856947</v>
      </c>
    </row>
    <row r="144" spans="1:8">
      <c r="A144" s="15">
        <f t="shared" si="8"/>
        <v>34274</v>
      </c>
      <c r="B144">
        <v>145.80000000000001</v>
      </c>
      <c r="C144" s="10">
        <f t="shared" si="9"/>
        <v>0.10000000000002274</v>
      </c>
      <c r="D144" s="16">
        <f t="shared" si="10"/>
        <v>6.8634179821566749E-2</v>
      </c>
      <c r="G144" s="15">
        <f t="shared" si="11"/>
        <v>34274</v>
      </c>
      <c r="H144" s="11">
        <v>6.8634179821566749E-2</v>
      </c>
    </row>
    <row r="145" spans="1:8">
      <c r="A145" s="15">
        <f t="shared" si="8"/>
        <v>34304</v>
      </c>
      <c r="B145">
        <v>145.80000000000001</v>
      </c>
      <c r="C145" s="10">
        <f t="shared" si="9"/>
        <v>0</v>
      </c>
      <c r="D145" s="16">
        <f t="shared" si="10"/>
        <v>0</v>
      </c>
      <c r="G145" s="15">
        <f t="shared" si="11"/>
        <v>34304</v>
      </c>
      <c r="H145" s="11">
        <v>0</v>
      </c>
    </row>
    <row r="146" spans="1:8">
      <c r="A146" s="15">
        <f t="shared" si="8"/>
        <v>34335</v>
      </c>
      <c r="B146">
        <v>146.19999999999999</v>
      </c>
      <c r="C146" s="10">
        <f t="shared" si="9"/>
        <v>0.39999999999997726</v>
      </c>
      <c r="D146" s="16">
        <f t="shared" si="10"/>
        <v>0.274348422496555</v>
      </c>
      <c r="G146" s="15">
        <f t="shared" si="11"/>
        <v>34335</v>
      </c>
      <c r="H146" s="11">
        <v>0.274348422496555</v>
      </c>
    </row>
    <row r="147" spans="1:8">
      <c r="A147" s="15">
        <f t="shared" si="8"/>
        <v>34366</v>
      </c>
      <c r="B147">
        <v>146.69999999999999</v>
      </c>
      <c r="C147" s="10">
        <f t="shared" si="9"/>
        <v>0.5</v>
      </c>
      <c r="D147" s="16">
        <f t="shared" si="10"/>
        <v>0.34199726402188785</v>
      </c>
      <c r="G147" s="15">
        <f t="shared" si="11"/>
        <v>34366</v>
      </c>
      <c r="H147" s="11">
        <v>0.34199726402188785</v>
      </c>
    </row>
    <row r="148" spans="1:8">
      <c r="A148" s="15">
        <f t="shared" si="8"/>
        <v>34394</v>
      </c>
      <c r="B148">
        <v>147.19999999999999</v>
      </c>
      <c r="C148" s="10">
        <f t="shared" si="9"/>
        <v>0.5</v>
      </c>
      <c r="D148" s="16">
        <f t="shared" si="10"/>
        <v>0.3408316291751875</v>
      </c>
      <c r="G148" s="15">
        <f t="shared" si="11"/>
        <v>34394</v>
      </c>
      <c r="H148" s="11">
        <v>0.3408316291751875</v>
      </c>
    </row>
    <row r="149" spans="1:8">
      <c r="A149" s="15">
        <f t="shared" si="8"/>
        <v>34425</v>
      </c>
      <c r="B149">
        <v>147.4</v>
      </c>
      <c r="C149" s="10">
        <f t="shared" si="9"/>
        <v>0.20000000000001705</v>
      </c>
      <c r="D149" s="16">
        <f t="shared" si="10"/>
        <v>0.1358695652174029</v>
      </c>
      <c r="G149" s="15">
        <f t="shared" si="11"/>
        <v>34425</v>
      </c>
      <c r="H149" s="11">
        <v>0.1358695652174029</v>
      </c>
    </row>
    <row r="150" spans="1:8">
      <c r="A150" s="15">
        <f t="shared" si="8"/>
        <v>34455</v>
      </c>
      <c r="B150">
        <v>147.5</v>
      </c>
      <c r="C150" s="10">
        <f t="shared" si="9"/>
        <v>9.9999999999994316E-2</v>
      </c>
      <c r="D150" s="16">
        <f t="shared" si="10"/>
        <v>6.7842605156034144E-2</v>
      </c>
      <c r="G150" s="15">
        <f t="shared" si="11"/>
        <v>34455</v>
      </c>
      <c r="H150" s="11">
        <v>6.7842605156034144E-2</v>
      </c>
    </row>
    <row r="151" spans="1:8">
      <c r="A151" s="15">
        <f t="shared" si="8"/>
        <v>34486</v>
      </c>
      <c r="B151">
        <v>148</v>
      </c>
      <c r="C151" s="10">
        <f t="shared" si="9"/>
        <v>0.5</v>
      </c>
      <c r="D151" s="16">
        <f t="shared" si="10"/>
        <v>0.33898305084745761</v>
      </c>
      <c r="G151" s="15">
        <f t="shared" si="11"/>
        <v>34486</v>
      </c>
      <c r="H151" s="11">
        <v>0.33898305084745761</v>
      </c>
    </row>
    <row r="152" spans="1:8">
      <c r="A152" s="15">
        <f t="shared" si="8"/>
        <v>34516</v>
      </c>
      <c r="B152">
        <v>148.4</v>
      </c>
      <c r="C152" s="10">
        <f t="shared" si="9"/>
        <v>0.40000000000000568</v>
      </c>
      <c r="D152" s="16">
        <f t="shared" si="10"/>
        <v>0.27027027027027412</v>
      </c>
      <c r="G152" s="15">
        <f t="shared" si="11"/>
        <v>34516</v>
      </c>
      <c r="H152" s="11">
        <v>0.27027027027027412</v>
      </c>
    </row>
    <row r="153" spans="1:8">
      <c r="A153" s="15">
        <f t="shared" si="8"/>
        <v>34547</v>
      </c>
      <c r="B153">
        <v>149</v>
      </c>
      <c r="C153" s="10">
        <f t="shared" si="9"/>
        <v>0.59999999999999432</v>
      </c>
      <c r="D153" s="16">
        <f t="shared" si="10"/>
        <v>0.40431266846360797</v>
      </c>
      <c r="G153" s="15">
        <f t="shared" si="11"/>
        <v>34547</v>
      </c>
      <c r="H153" s="11">
        <v>0.40431266846360797</v>
      </c>
    </row>
    <row r="154" spans="1:8">
      <c r="A154" s="15">
        <f t="shared" si="8"/>
        <v>34578</v>
      </c>
      <c r="B154">
        <v>149.4</v>
      </c>
      <c r="C154" s="10">
        <f t="shared" si="9"/>
        <v>0.40000000000000568</v>
      </c>
      <c r="D154" s="16">
        <f t="shared" si="10"/>
        <v>0.26845637583892995</v>
      </c>
      <c r="G154" s="15">
        <f t="shared" si="11"/>
        <v>34578</v>
      </c>
      <c r="H154" s="11">
        <v>0.26845637583892995</v>
      </c>
    </row>
    <row r="155" spans="1:8">
      <c r="A155" s="15">
        <f t="shared" si="8"/>
        <v>34608</v>
      </c>
      <c r="B155">
        <v>149.5</v>
      </c>
      <c r="C155" s="10">
        <f t="shared" si="9"/>
        <v>9.9999999999994316E-2</v>
      </c>
      <c r="D155" s="16">
        <f t="shared" si="10"/>
        <v>6.6934404283798071E-2</v>
      </c>
      <c r="G155" s="15">
        <f t="shared" si="11"/>
        <v>34608</v>
      </c>
      <c r="H155" s="11">
        <v>6.6934404283798071E-2</v>
      </c>
    </row>
    <row r="156" spans="1:8">
      <c r="A156" s="15">
        <f t="shared" si="8"/>
        <v>34639</v>
      </c>
      <c r="B156">
        <v>149.69999999999999</v>
      </c>
      <c r="C156" s="10">
        <f t="shared" si="9"/>
        <v>0.19999999999998863</v>
      </c>
      <c r="D156" s="16">
        <f t="shared" si="10"/>
        <v>0.13377926421403924</v>
      </c>
      <c r="G156" s="15">
        <f t="shared" si="11"/>
        <v>34639</v>
      </c>
      <c r="H156" s="11">
        <v>0.13377926421403924</v>
      </c>
    </row>
    <row r="157" spans="1:8">
      <c r="A157" s="15">
        <f t="shared" si="8"/>
        <v>34669</v>
      </c>
      <c r="B157">
        <v>149.69999999999999</v>
      </c>
      <c r="C157" s="10">
        <f t="shared" si="9"/>
        <v>0</v>
      </c>
      <c r="D157" s="16">
        <f t="shared" si="10"/>
        <v>0</v>
      </c>
      <c r="G157" s="15">
        <f t="shared" si="11"/>
        <v>34669</v>
      </c>
      <c r="H157" s="11">
        <v>0</v>
      </c>
    </row>
    <row r="158" spans="1:8">
      <c r="A158" s="15">
        <f t="shared" si="8"/>
        <v>34700</v>
      </c>
      <c r="B158" s="10">
        <v>150.30000000000001</v>
      </c>
      <c r="C158" s="10">
        <f t="shared" si="9"/>
        <v>0.60000000000002274</v>
      </c>
      <c r="D158" s="16">
        <f t="shared" si="10"/>
        <v>0.40080160320642805</v>
      </c>
      <c r="G158" s="15">
        <f t="shared" si="11"/>
        <v>34700</v>
      </c>
      <c r="H158" s="11">
        <v>0.40080160320642805</v>
      </c>
    </row>
    <row r="159" spans="1:8">
      <c r="A159" s="15">
        <f t="shared" si="8"/>
        <v>34731</v>
      </c>
      <c r="B159" s="10">
        <v>150.9</v>
      </c>
      <c r="C159" s="10">
        <f t="shared" si="9"/>
        <v>0.59999999999999432</v>
      </c>
      <c r="D159" s="16">
        <f t="shared" si="10"/>
        <v>0.3992015968063834</v>
      </c>
      <c r="G159" s="15">
        <f t="shared" si="11"/>
        <v>34731</v>
      </c>
      <c r="H159" s="11">
        <v>0.3992015968063834</v>
      </c>
    </row>
    <row r="160" spans="1:8">
      <c r="A160" s="15">
        <f t="shared" si="8"/>
        <v>34759</v>
      </c>
      <c r="B160" s="10">
        <v>151.4</v>
      </c>
      <c r="C160" s="10">
        <f t="shared" si="9"/>
        <v>0.5</v>
      </c>
      <c r="D160" s="16">
        <f t="shared" si="10"/>
        <v>0.33134526176275675</v>
      </c>
      <c r="G160" s="15">
        <f t="shared" si="11"/>
        <v>34759</v>
      </c>
      <c r="H160" s="11">
        <v>0.33134526176275675</v>
      </c>
    </row>
    <row r="161" spans="1:8">
      <c r="A161" s="15">
        <f t="shared" si="8"/>
        <v>34790</v>
      </c>
      <c r="B161" s="10">
        <v>151.9</v>
      </c>
      <c r="C161" s="10">
        <f t="shared" si="9"/>
        <v>0.5</v>
      </c>
      <c r="D161" s="16">
        <f t="shared" si="10"/>
        <v>0.33025099075297221</v>
      </c>
      <c r="G161" s="15">
        <f t="shared" si="11"/>
        <v>34790</v>
      </c>
      <c r="H161" s="11">
        <v>0.33025099075297221</v>
      </c>
    </row>
    <row r="162" spans="1:8">
      <c r="A162" s="15">
        <f t="shared" si="8"/>
        <v>34820</v>
      </c>
      <c r="B162" s="10">
        <v>152.19999999999999</v>
      </c>
      <c r="C162" s="10">
        <f t="shared" si="9"/>
        <v>0.29999999999998295</v>
      </c>
      <c r="D162" s="16">
        <f t="shared" si="10"/>
        <v>0.19749835418037062</v>
      </c>
      <c r="G162" s="15">
        <f t="shared" si="11"/>
        <v>34820</v>
      </c>
      <c r="H162" s="11">
        <v>0.19749835418037062</v>
      </c>
    </row>
    <row r="163" spans="1:8">
      <c r="A163" s="15">
        <f t="shared" si="8"/>
        <v>34851</v>
      </c>
      <c r="B163" s="10">
        <v>152.5</v>
      </c>
      <c r="C163" s="10">
        <f t="shared" si="9"/>
        <v>0.30000000000001137</v>
      </c>
      <c r="D163" s="16">
        <f t="shared" si="10"/>
        <v>0.19710906701709027</v>
      </c>
      <c r="G163" s="15">
        <f t="shared" si="11"/>
        <v>34851</v>
      </c>
      <c r="H163" s="11">
        <v>0.19710906701709027</v>
      </c>
    </row>
    <row r="164" spans="1:8">
      <c r="A164" s="15">
        <f t="shared" si="8"/>
        <v>34881</v>
      </c>
      <c r="B164" s="10">
        <v>152.5</v>
      </c>
      <c r="C164" s="10">
        <f t="shared" si="9"/>
        <v>0</v>
      </c>
      <c r="D164" s="16">
        <f t="shared" si="10"/>
        <v>0</v>
      </c>
      <c r="G164" s="15">
        <f t="shared" si="11"/>
        <v>34881</v>
      </c>
      <c r="H164" s="11">
        <v>0</v>
      </c>
    </row>
    <row r="165" spans="1:8">
      <c r="A165" s="15">
        <f t="shared" si="8"/>
        <v>34912</v>
      </c>
      <c r="B165" s="10">
        <v>152.9</v>
      </c>
      <c r="C165" s="10">
        <f t="shared" si="9"/>
        <v>0.40000000000000568</v>
      </c>
      <c r="D165" s="16">
        <f t="shared" si="10"/>
        <v>0.26229508196721685</v>
      </c>
      <c r="G165" s="15">
        <f t="shared" si="11"/>
        <v>34912</v>
      </c>
      <c r="H165" s="11">
        <v>0.26229508196721685</v>
      </c>
    </row>
    <row r="166" spans="1:8">
      <c r="A166" s="15">
        <f t="shared" si="8"/>
        <v>34943</v>
      </c>
      <c r="B166" s="10">
        <v>153.19999999999999</v>
      </c>
      <c r="C166" s="10">
        <f t="shared" si="9"/>
        <v>0.29999999999998295</v>
      </c>
      <c r="D166" s="16">
        <f t="shared" si="10"/>
        <v>0.19620667102680378</v>
      </c>
      <c r="G166" s="15">
        <f t="shared" si="11"/>
        <v>34943</v>
      </c>
      <c r="H166" s="11">
        <v>0.19620667102680378</v>
      </c>
    </row>
    <row r="167" spans="1:8">
      <c r="A167" s="15">
        <f t="shared" si="8"/>
        <v>34973</v>
      </c>
      <c r="B167" s="10">
        <v>153.69999999999999</v>
      </c>
      <c r="C167" s="10">
        <f t="shared" si="9"/>
        <v>0.5</v>
      </c>
      <c r="D167" s="16">
        <f t="shared" si="10"/>
        <v>0.32637075718015668</v>
      </c>
      <c r="G167" s="15">
        <f t="shared" si="11"/>
        <v>34973</v>
      </c>
      <c r="H167" s="11">
        <v>0.32637075718015668</v>
      </c>
    </row>
    <row r="168" spans="1:8">
      <c r="A168" s="15">
        <f t="shared" si="8"/>
        <v>35004</v>
      </c>
      <c r="B168" s="10">
        <v>153.6</v>
      </c>
      <c r="C168" s="10">
        <f t="shared" si="9"/>
        <v>-9.9999999999994316E-2</v>
      </c>
      <c r="D168" s="16">
        <f t="shared" si="10"/>
        <v>-6.5061808718278671E-2</v>
      </c>
      <c r="G168" s="15">
        <f t="shared" si="11"/>
        <v>35004</v>
      </c>
      <c r="H168" s="11">
        <v>-6.5061808718278671E-2</v>
      </c>
    </row>
    <row r="169" spans="1:8">
      <c r="A169" s="15">
        <f t="shared" si="8"/>
        <v>35034</v>
      </c>
      <c r="B169" s="10">
        <v>153.5</v>
      </c>
      <c r="C169" s="10">
        <f t="shared" si="9"/>
        <v>-9.9999999999994316E-2</v>
      </c>
      <c r="D169" s="16">
        <f t="shared" si="10"/>
        <v>-6.5104166666662966E-2</v>
      </c>
      <c r="G169" s="15">
        <f t="shared" si="11"/>
        <v>35034</v>
      </c>
      <c r="H169" s="11">
        <v>-6.5104166666662966E-2</v>
      </c>
    </row>
    <row r="170" spans="1:8">
      <c r="A170" s="15">
        <f t="shared" si="8"/>
        <v>35065</v>
      </c>
      <c r="B170">
        <v>154.4</v>
      </c>
      <c r="C170" s="10">
        <f t="shared" si="9"/>
        <v>0.90000000000000568</v>
      </c>
      <c r="D170" s="16">
        <f t="shared" si="10"/>
        <v>0.58631921824104605</v>
      </c>
      <c r="G170" s="15">
        <f t="shared" si="11"/>
        <v>35065</v>
      </c>
      <c r="H170" s="11">
        <v>0.58631921824104605</v>
      </c>
    </row>
    <row r="171" spans="1:8">
      <c r="A171" s="15">
        <f t="shared" si="8"/>
        <v>35096</v>
      </c>
      <c r="B171">
        <v>154.9</v>
      </c>
      <c r="C171" s="10">
        <f t="shared" si="9"/>
        <v>0.5</v>
      </c>
      <c r="D171" s="16">
        <f t="shared" si="10"/>
        <v>0.32383419689119169</v>
      </c>
      <c r="G171" s="15">
        <f t="shared" si="11"/>
        <v>35096</v>
      </c>
      <c r="H171" s="11">
        <v>0.32383419689119169</v>
      </c>
    </row>
    <row r="172" spans="1:8">
      <c r="A172" s="15">
        <f t="shared" si="8"/>
        <v>35125</v>
      </c>
      <c r="B172">
        <v>155.69999999999999</v>
      </c>
      <c r="C172" s="10">
        <f t="shared" si="9"/>
        <v>0.79999999999998295</v>
      </c>
      <c r="D172" s="16">
        <f t="shared" si="10"/>
        <v>0.51646223369914968</v>
      </c>
      <c r="G172" s="15">
        <f t="shared" si="11"/>
        <v>35125</v>
      </c>
      <c r="H172" s="11">
        <v>0.51646223369914968</v>
      </c>
    </row>
    <row r="173" spans="1:8">
      <c r="A173" s="15">
        <f t="shared" si="8"/>
        <v>35156</v>
      </c>
      <c r="B173">
        <v>156.30000000000001</v>
      </c>
      <c r="C173" s="10">
        <f t="shared" si="9"/>
        <v>0.60000000000002274</v>
      </c>
      <c r="D173" s="16">
        <f t="shared" si="10"/>
        <v>0.38535645472063118</v>
      </c>
      <c r="G173" s="15">
        <f t="shared" si="11"/>
        <v>35156</v>
      </c>
      <c r="H173" s="11">
        <v>0.38535645472063118</v>
      </c>
    </row>
    <row r="174" spans="1:8">
      <c r="A174" s="15">
        <f t="shared" si="8"/>
        <v>35186</v>
      </c>
      <c r="B174">
        <v>156.6</v>
      </c>
      <c r="C174" s="10">
        <f t="shared" si="9"/>
        <v>0.29999999999998295</v>
      </c>
      <c r="D174" s="16">
        <f t="shared" si="10"/>
        <v>0.19193857965449965</v>
      </c>
      <c r="G174" s="15">
        <f t="shared" si="11"/>
        <v>35186</v>
      </c>
      <c r="H174" s="11">
        <v>0.19193857965449965</v>
      </c>
    </row>
    <row r="175" spans="1:8">
      <c r="A175" s="15">
        <f t="shared" si="8"/>
        <v>35217</v>
      </c>
      <c r="B175">
        <v>156.69999999999999</v>
      </c>
      <c r="C175" s="10">
        <f t="shared" si="9"/>
        <v>9.9999999999994316E-2</v>
      </c>
      <c r="D175" s="16">
        <f t="shared" si="10"/>
        <v>6.3856960408680913E-2</v>
      </c>
      <c r="G175" s="15">
        <f t="shared" si="11"/>
        <v>35217</v>
      </c>
      <c r="H175" s="11">
        <v>6.3856960408680913E-2</v>
      </c>
    </row>
    <row r="176" spans="1:8">
      <c r="A176" s="15">
        <f t="shared" si="8"/>
        <v>35247</v>
      </c>
      <c r="B176">
        <v>157</v>
      </c>
      <c r="C176" s="10">
        <f t="shared" si="9"/>
        <v>0.30000000000001137</v>
      </c>
      <c r="D176" s="16">
        <f t="shared" si="10"/>
        <v>0.19144862795150694</v>
      </c>
      <c r="G176" s="15">
        <f t="shared" si="11"/>
        <v>35247</v>
      </c>
      <c r="H176" s="11">
        <v>0.19144862795150694</v>
      </c>
    </row>
    <row r="177" spans="1:8">
      <c r="A177" s="15">
        <f t="shared" si="8"/>
        <v>35278</v>
      </c>
      <c r="B177">
        <v>157.30000000000001</v>
      </c>
      <c r="C177" s="10">
        <f t="shared" si="9"/>
        <v>0.30000000000001137</v>
      </c>
      <c r="D177" s="16">
        <f t="shared" si="10"/>
        <v>0.19108280254777793</v>
      </c>
      <c r="G177" s="15">
        <f t="shared" si="11"/>
        <v>35278</v>
      </c>
      <c r="H177" s="11">
        <v>0.19108280254777793</v>
      </c>
    </row>
    <row r="178" spans="1:8">
      <c r="A178" s="15">
        <f t="shared" si="8"/>
        <v>35309</v>
      </c>
      <c r="B178">
        <v>157.80000000000001</v>
      </c>
      <c r="C178" s="10">
        <f t="shared" si="9"/>
        <v>0.5</v>
      </c>
      <c r="D178" s="16">
        <f t="shared" si="10"/>
        <v>0.31786395422759056</v>
      </c>
      <c r="G178" s="15">
        <f t="shared" si="11"/>
        <v>35309</v>
      </c>
      <c r="H178" s="11">
        <v>0.31786395422759056</v>
      </c>
    </row>
    <row r="179" spans="1:8">
      <c r="A179" s="15">
        <f t="shared" si="8"/>
        <v>35339</v>
      </c>
      <c r="B179">
        <v>158.30000000000001</v>
      </c>
      <c r="C179" s="10">
        <f t="shared" si="9"/>
        <v>0.5</v>
      </c>
      <c r="D179" s="16">
        <f t="shared" si="10"/>
        <v>0.3168567807351077</v>
      </c>
      <c r="G179" s="15">
        <f t="shared" si="11"/>
        <v>35339</v>
      </c>
      <c r="H179" s="11">
        <v>0.3168567807351077</v>
      </c>
    </row>
    <row r="180" spans="1:8">
      <c r="A180" s="15">
        <f t="shared" si="8"/>
        <v>35370</v>
      </c>
      <c r="B180">
        <v>158.6</v>
      </c>
      <c r="C180" s="10">
        <f t="shared" si="9"/>
        <v>0.29999999999998295</v>
      </c>
      <c r="D180" s="16">
        <f t="shared" si="10"/>
        <v>0.18951358180668537</v>
      </c>
      <c r="G180" s="15">
        <f t="shared" si="11"/>
        <v>35370</v>
      </c>
      <c r="H180" s="11">
        <v>0.18951358180668537</v>
      </c>
    </row>
    <row r="181" spans="1:8">
      <c r="A181" s="15">
        <f t="shared" si="8"/>
        <v>35400</v>
      </c>
      <c r="B181">
        <v>158.6</v>
      </c>
      <c r="C181" s="10">
        <f t="shared" si="9"/>
        <v>0</v>
      </c>
      <c r="D181" s="16">
        <f t="shared" si="10"/>
        <v>0</v>
      </c>
      <c r="G181" s="15">
        <f t="shared" si="11"/>
        <v>35400</v>
      </c>
      <c r="H181" s="11">
        <v>0</v>
      </c>
    </row>
    <row r="182" spans="1:8">
      <c r="A182" s="15">
        <f t="shared" si="8"/>
        <v>35431</v>
      </c>
      <c r="B182">
        <v>159.1</v>
      </c>
      <c r="C182" s="10">
        <f t="shared" si="9"/>
        <v>0.5</v>
      </c>
      <c r="D182" s="16">
        <f t="shared" si="10"/>
        <v>0.31525851197982346</v>
      </c>
      <c r="G182" s="15">
        <f t="shared" si="11"/>
        <v>35431</v>
      </c>
      <c r="H182" s="11">
        <v>0.31525851197982346</v>
      </c>
    </row>
    <row r="183" spans="1:8">
      <c r="A183" s="15">
        <f t="shared" si="8"/>
        <v>35462</v>
      </c>
      <c r="B183">
        <v>159.6</v>
      </c>
      <c r="C183" s="10">
        <f t="shared" si="9"/>
        <v>0.5</v>
      </c>
      <c r="D183" s="16">
        <f t="shared" si="10"/>
        <v>0.31426775612822128</v>
      </c>
      <c r="G183" s="15">
        <f t="shared" si="11"/>
        <v>35462</v>
      </c>
      <c r="H183" s="11">
        <v>0.31426775612822128</v>
      </c>
    </row>
    <row r="184" spans="1:8">
      <c r="A184" s="15">
        <f t="shared" si="8"/>
        <v>35490</v>
      </c>
      <c r="B184">
        <v>160</v>
      </c>
      <c r="C184" s="10">
        <f t="shared" si="9"/>
        <v>0.40000000000000568</v>
      </c>
      <c r="D184" s="16">
        <f t="shared" si="10"/>
        <v>0.25062656641604369</v>
      </c>
      <c r="G184" s="15">
        <f t="shared" si="11"/>
        <v>35490</v>
      </c>
      <c r="H184" s="11">
        <v>0.25062656641604369</v>
      </c>
    </row>
    <row r="185" spans="1:8">
      <c r="A185" s="15">
        <f t="shared" si="8"/>
        <v>35521</v>
      </c>
      <c r="B185">
        <v>160.19999999999999</v>
      </c>
      <c r="C185" s="10">
        <f t="shared" si="9"/>
        <v>0.19999999999998863</v>
      </c>
      <c r="D185" s="16">
        <f t="shared" si="10"/>
        <v>0.12499999999999289</v>
      </c>
      <c r="G185" s="15">
        <f t="shared" si="11"/>
        <v>35521</v>
      </c>
      <c r="H185" s="11">
        <v>0.12499999999999289</v>
      </c>
    </row>
    <row r="186" spans="1:8">
      <c r="A186" s="15">
        <f t="shared" si="8"/>
        <v>35551</v>
      </c>
      <c r="B186">
        <v>160.1</v>
      </c>
      <c r="C186" s="10">
        <f t="shared" si="9"/>
        <v>-9.9999999999994316E-2</v>
      </c>
      <c r="D186" s="16">
        <f t="shared" si="10"/>
        <v>-6.2421972534328539E-2</v>
      </c>
      <c r="G186" s="15">
        <f t="shared" si="11"/>
        <v>35551</v>
      </c>
      <c r="H186" s="11">
        <v>-6.2421972534328539E-2</v>
      </c>
    </row>
    <row r="187" spans="1:8">
      <c r="A187" s="15">
        <f t="shared" si="8"/>
        <v>35582</v>
      </c>
      <c r="B187">
        <v>160.30000000000001</v>
      </c>
      <c r="C187" s="10">
        <f t="shared" si="9"/>
        <v>0.20000000000001705</v>
      </c>
      <c r="D187" s="16">
        <f t="shared" si="10"/>
        <v>0.12492192379763714</v>
      </c>
      <c r="G187" s="15">
        <f t="shared" si="11"/>
        <v>35582</v>
      </c>
      <c r="H187" s="11">
        <v>0.12492192379763714</v>
      </c>
    </row>
    <row r="188" spans="1:8">
      <c r="A188" s="15">
        <f t="shared" si="8"/>
        <v>35612</v>
      </c>
      <c r="B188">
        <v>160.5</v>
      </c>
      <c r="C188" s="10">
        <f t="shared" si="9"/>
        <v>0.19999999999998863</v>
      </c>
      <c r="D188" s="16">
        <f t="shared" si="10"/>
        <v>0.12476606363068536</v>
      </c>
      <c r="G188" s="15">
        <f t="shared" si="11"/>
        <v>35612</v>
      </c>
      <c r="H188" s="11">
        <v>0.12476606363068536</v>
      </c>
    </row>
    <row r="189" spans="1:8">
      <c r="A189" s="15">
        <f t="shared" si="8"/>
        <v>35643</v>
      </c>
      <c r="B189">
        <v>160.80000000000001</v>
      </c>
      <c r="C189" s="10">
        <f t="shared" si="9"/>
        <v>0.30000000000001137</v>
      </c>
      <c r="D189" s="16">
        <f t="shared" si="10"/>
        <v>0.18691588785047436</v>
      </c>
      <c r="G189" s="15">
        <f t="shared" si="11"/>
        <v>35643</v>
      </c>
      <c r="H189" s="11">
        <v>0.18691588785047436</v>
      </c>
    </row>
    <row r="190" spans="1:8">
      <c r="A190" s="15">
        <f t="shared" si="8"/>
        <v>35674</v>
      </c>
      <c r="B190">
        <v>161.19999999999999</v>
      </c>
      <c r="C190" s="10">
        <f t="shared" si="9"/>
        <v>0.39999999999997726</v>
      </c>
      <c r="D190" s="16">
        <f t="shared" si="10"/>
        <v>0.24875621890545849</v>
      </c>
      <c r="G190" s="15">
        <f t="shared" si="11"/>
        <v>35674</v>
      </c>
      <c r="H190" s="11">
        <v>0.24875621890545849</v>
      </c>
    </row>
    <row r="191" spans="1:8">
      <c r="A191" s="15">
        <f t="shared" si="8"/>
        <v>35704</v>
      </c>
      <c r="B191">
        <v>161.6</v>
      </c>
      <c r="C191" s="10">
        <f t="shared" si="9"/>
        <v>0.40000000000000568</v>
      </c>
      <c r="D191" s="16">
        <f t="shared" si="10"/>
        <v>0.24813895781638073</v>
      </c>
      <c r="G191" s="15">
        <f t="shared" si="11"/>
        <v>35704</v>
      </c>
      <c r="H191" s="11">
        <v>0.24813895781638073</v>
      </c>
    </row>
    <row r="192" spans="1:8">
      <c r="A192" s="15">
        <f t="shared" si="8"/>
        <v>35735</v>
      </c>
      <c r="B192">
        <v>161.5</v>
      </c>
      <c r="C192" s="10">
        <f t="shared" si="9"/>
        <v>-9.9999999999994316E-2</v>
      </c>
      <c r="D192" s="16">
        <f t="shared" si="10"/>
        <v>-6.188118811880837E-2</v>
      </c>
      <c r="G192" s="15">
        <f t="shared" si="11"/>
        <v>35735</v>
      </c>
      <c r="H192" s="11">
        <v>-6.188118811880837E-2</v>
      </c>
    </row>
    <row r="193" spans="1:8">
      <c r="A193" s="15">
        <f t="shared" si="8"/>
        <v>35765</v>
      </c>
      <c r="B193">
        <v>161.30000000000001</v>
      </c>
      <c r="C193" s="10">
        <f t="shared" si="9"/>
        <v>-0.19999999999998863</v>
      </c>
      <c r="D193" s="16">
        <f t="shared" si="10"/>
        <v>-0.12383900928791866</v>
      </c>
      <c r="G193" s="15">
        <f t="shared" si="11"/>
        <v>35765</v>
      </c>
      <c r="H193" s="11">
        <v>-0.12383900928791866</v>
      </c>
    </row>
    <row r="194" spans="1:8">
      <c r="A194" s="15">
        <f t="shared" si="8"/>
        <v>35796</v>
      </c>
      <c r="B194">
        <v>161.6</v>
      </c>
      <c r="C194" s="10">
        <f t="shared" si="9"/>
        <v>0.29999999999998295</v>
      </c>
      <c r="D194" s="16">
        <f t="shared" si="10"/>
        <v>0.18598884066954924</v>
      </c>
      <c r="G194" s="15">
        <f t="shared" si="11"/>
        <v>35796</v>
      </c>
      <c r="H194" s="11">
        <v>0.18598884066954924</v>
      </c>
    </row>
    <row r="195" spans="1:8">
      <c r="A195" s="15">
        <f t="shared" si="8"/>
        <v>35827</v>
      </c>
      <c r="B195">
        <v>161.9</v>
      </c>
      <c r="C195" s="10">
        <f t="shared" si="9"/>
        <v>0.30000000000001137</v>
      </c>
      <c r="D195" s="16">
        <f t="shared" si="10"/>
        <v>0.18564356435644269</v>
      </c>
      <c r="G195" s="15">
        <f t="shared" si="11"/>
        <v>35827</v>
      </c>
      <c r="H195" s="11">
        <v>0.18564356435644269</v>
      </c>
    </row>
    <row r="196" spans="1:8">
      <c r="A196" s="15">
        <f t="shared" ref="A196:A259" si="12">EDATE(A195,1)</f>
        <v>35855</v>
      </c>
      <c r="B196">
        <v>162.19999999999999</v>
      </c>
      <c r="C196" s="10">
        <f t="shared" ref="C196:C259" si="13">B196-B195</f>
        <v>0.29999999999998295</v>
      </c>
      <c r="D196" s="16">
        <f t="shared" ref="D196:D259" si="14">(B196-B195)/B195*100</f>
        <v>0.18529956763433164</v>
      </c>
      <c r="G196" s="15">
        <f t="shared" ref="G196:G259" si="15">EDATE(G195,1)</f>
        <v>35855</v>
      </c>
      <c r="H196" s="11">
        <v>0.18529956763433164</v>
      </c>
    </row>
    <row r="197" spans="1:8">
      <c r="A197" s="15">
        <f t="shared" si="12"/>
        <v>35886</v>
      </c>
      <c r="B197">
        <v>162.5</v>
      </c>
      <c r="C197" s="10">
        <f t="shared" si="13"/>
        <v>0.30000000000001137</v>
      </c>
      <c r="D197" s="16">
        <f t="shared" si="14"/>
        <v>0.18495684340321294</v>
      </c>
      <c r="G197" s="15">
        <f t="shared" si="15"/>
        <v>35886</v>
      </c>
      <c r="H197" s="11">
        <v>0.18495684340321294</v>
      </c>
    </row>
    <row r="198" spans="1:8">
      <c r="A198" s="15">
        <f t="shared" si="12"/>
        <v>35916</v>
      </c>
      <c r="B198">
        <v>162.80000000000001</v>
      </c>
      <c r="C198" s="10">
        <f t="shared" si="13"/>
        <v>0.30000000000001137</v>
      </c>
      <c r="D198" s="16">
        <f t="shared" si="14"/>
        <v>0.18461538461539162</v>
      </c>
      <c r="G198" s="15">
        <f t="shared" si="15"/>
        <v>35916</v>
      </c>
      <c r="H198" s="11">
        <v>0.18461538461539162</v>
      </c>
    </row>
    <row r="199" spans="1:8">
      <c r="A199" s="15">
        <f t="shared" si="12"/>
        <v>35947</v>
      </c>
      <c r="B199">
        <v>163</v>
      </c>
      <c r="C199" s="10">
        <f t="shared" si="13"/>
        <v>0.19999999999998863</v>
      </c>
      <c r="D199" s="16">
        <f t="shared" si="14"/>
        <v>0.12285012285011586</v>
      </c>
      <c r="G199" s="15">
        <f t="shared" si="15"/>
        <v>35947</v>
      </c>
      <c r="H199" s="11">
        <v>0.12285012285011586</v>
      </c>
    </row>
    <row r="200" spans="1:8">
      <c r="A200" s="15">
        <f t="shared" si="12"/>
        <v>35977</v>
      </c>
      <c r="B200">
        <v>163.19999999999999</v>
      </c>
      <c r="C200" s="10">
        <f t="shared" si="13"/>
        <v>0.19999999999998863</v>
      </c>
      <c r="D200" s="16">
        <f t="shared" si="14"/>
        <v>0.1226993865030605</v>
      </c>
      <c r="G200" s="15">
        <f t="shared" si="15"/>
        <v>35977</v>
      </c>
      <c r="H200" s="11">
        <v>0.1226993865030605</v>
      </c>
    </row>
    <row r="201" spans="1:8">
      <c r="A201" s="15">
        <f t="shared" si="12"/>
        <v>36008</v>
      </c>
      <c r="B201">
        <v>163.4</v>
      </c>
      <c r="C201" s="10">
        <f t="shared" si="13"/>
        <v>0.20000000000001705</v>
      </c>
      <c r="D201" s="16">
        <f t="shared" si="14"/>
        <v>0.12254901960785358</v>
      </c>
      <c r="G201" s="15">
        <f t="shared" si="15"/>
        <v>36008</v>
      </c>
      <c r="H201" s="11">
        <v>0.12254901960785358</v>
      </c>
    </row>
    <row r="202" spans="1:8">
      <c r="A202" s="15">
        <f t="shared" si="12"/>
        <v>36039</v>
      </c>
      <c r="B202">
        <v>163.6</v>
      </c>
      <c r="C202" s="10">
        <f t="shared" si="13"/>
        <v>0.19999999999998863</v>
      </c>
      <c r="D202" s="16">
        <f t="shared" si="14"/>
        <v>0.12239902080782657</v>
      </c>
      <c r="G202" s="15">
        <f t="shared" si="15"/>
        <v>36039</v>
      </c>
      <c r="H202" s="11">
        <v>0.12239902080782657</v>
      </c>
    </row>
    <row r="203" spans="1:8">
      <c r="A203" s="15">
        <f t="shared" si="12"/>
        <v>36069</v>
      </c>
      <c r="B203">
        <v>164</v>
      </c>
      <c r="C203" s="10">
        <f t="shared" si="13"/>
        <v>0.40000000000000568</v>
      </c>
      <c r="D203" s="16">
        <f t="shared" si="14"/>
        <v>0.24449877750611593</v>
      </c>
      <c r="G203" s="15">
        <f t="shared" si="15"/>
        <v>36069</v>
      </c>
      <c r="H203" s="11">
        <v>0.24449877750611593</v>
      </c>
    </row>
    <row r="204" spans="1:8">
      <c r="A204" s="15">
        <f t="shared" si="12"/>
        <v>36100</v>
      </c>
      <c r="B204">
        <v>164</v>
      </c>
      <c r="C204" s="10">
        <f t="shared" si="13"/>
        <v>0</v>
      </c>
      <c r="D204" s="16">
        <f t="shared" si="14"/>
        <v>0</v>
      </c>
      <c r="G204" s="15">
        <f t="shared" si="15"/>
        <v>36100</v>
      </c>
      <c r="H204" s="11">
        <v>0</v>
      </c>
    </row>
    <row r="205" spans="1:8">
      <c r="A205" s="15">
        <f t="shared" si="12"/>
        <v>36130</v>
      </c>
      <c r="B205">
        <v>163.9</v>
      </c>
      <c r="C205" s="10">
        <f t="shared" si="13"/>
        <v>-9.9999999999994316E-2</v>
      </c>
      <c r="D205" s="16">
        <f t="shared" si="14"/>
        <v>-6.097560975609409E-2</v>
      </c>
      <c r="G205" s="15">
        <f t="shared" si="15"/>
        <v>36130</v>
      </c>
      <c r="H205" s="11">
        <v>-6.097560975609409E-2</v>
      </c>
    </row>
    <row r="206" spans="1:8">
      <c r="A206" s="15">
        <f t="shared" si="12"/>
        <v>36161</v>
      </c>
      <c r="B206" s="10">
        <v>164.3</v>
      </c>
      <c r="C206" s="10">
        <f t="shared" si="13"/>
        <v>0.40000000000000568</v>
      </c>
      <c r="D206" s="16">
        <f t="shared" si="14"/>
        <v>0.24405125076266362</v>
      </c>
      <c r="G206" s="15">
        <f t="shared" si="15"/>
        <v>36161</v>
      </c>
      <c r="H206" s="11">
        <v>0.24405125076266362</v>
      </c>
    </row>
    <row r="207" spans="1:8">
      <c r="A207" s="15">
        <f t="shared" si="12"/>
        <v>36192</v>
      </c>
      <c r="B207" s="10">
        <v>164.5</v>
      </c>
      <c r="C207" s="10">
        <f t="shared" si="13"/>
        <v>0.19999999999998863</v>
      </c>
      <c r="D207" s="16">
        <f t="shared" si="14"/>
        <v>0.1217285453438762</v>
      </c>
      <c r="G207" s="15">
        <f t="shared" si="15"/>
        <v>36192</v>
      </c>
      <c r="H207" s="11">
        <v>0.1217285453438762</v>
      </c>
    </row>
    <row r="208" spans="1:8">
      <c r="A208" s="15">
        <f t="shared" si="12"/>
        <v>36220</v>
      </c>
      <c r="B208" s="10">
        <v>165</v>
      </c>
      <c r="C208" s="10">
        <f t="shared" si="13"/>
        <v>0.5</v>
      </c>
      <c r="D208" s="16">
        <f t="shared" si="14"/>
        <v>0.303951367781155</v>
      </c>
      <c r="G208" s="15">
        <f t="shared" si="15"/>
        <v>36220</v>
      </c>
      <c r="H208" s="11">
        <v>0.303951367781155</v>
      </c>
    </row>
    <row r="209" spans="1:8">
      <c r="A209" s="15">
        <f t="shared" si="12"/>
        <v>36251</v>
      </c>
      <c r="B209" s="10">
        <v>166.2</v>
      </c>
      <c r="C209" s="10">
        <f t="shared" si="13"/>
        <v>1.1999999999999886</v>
      </c>
      <c r="D209" s="16">
        <f t="shared" si="14"/>
        <v>0.72727272727272041</v>
      </c>
      <c r="G209" s="15">
        <f t="shared" si="15"/>
        <v>36251</v>
      </c>
      <c r="H209" s="11">
        <v>0.72727272727272041</v>
      </c>
    </row>
    <row r="210" spans="1:8">
      <c r="A210" s="15">
        <f t="shared" si="12"/>
        <v>36281</v>
      </c>
      <c r="B210" s="10">
        <v>166.2</v>
      </c>
      <c r="C210" s="10">
        <f t="shared" si="13"/>
        <v>0</v>
      </c>
      <c r="D210" s="16">
        <f t="shared" si="14"/>
        <v>0</v>
      </c>
      <c r="G210" s="15">
        <f t="shared" si="15"/>
        <v>36281</v>
      </c>
      <c r="H210" s="11">
        <v>0</v>
      </c>
    </row>
    <row r="211" spans="1:8">
      <c r="A211" s="15">
        <f t="shared" si="12"/>
        <v>36312</v>
      </c>
      <c r="B211" s="10">
        <v>166.2</v>
      </c>
      <c r="C211" s="10">
        <f t="shared" si="13"/>
        <v>0</v>
      </c>
      <c r="D211" s="16">
        <f t="shared" si="14"/>
        <v>0</v>
      </c>
      <c r="G211" s="15">
        <f t="shared" si="15"/>
        <v>36312</v>
      </c>
      <c r="H211" s="11">
        <v>0</v>
      </c>
    </row>
    <row r="212" spans="1:8">
      <c r="A212" s="15">
        <f t="shared" si="12"/>
        <v>36342</v>
      </c>
      <c r="B212" s="10">
        <v>166.7</v>
      </c>
      <c r="C212" s="10">
        <f t="shared" si="13"/>
        <v>0.5</v>
      </c>
      <c r="D212" s="16">
        <f t="shared" si="14"/>
        <v>0.30084235860409148</v>
      </c>
      <c r="G212" s="15">
        <f t="shared" si="15"/>
        <v>36342</v>
      </c>
      <c r="H212" s="11">
        <v>0.30084235860409148</v>
      </c>
    </row>
    <row r="213" spans="1:8">
      <c r="A213" s="15">
        <f t="shared" si="12"/>
        <v>36373</v>
      </c>
      <c r="B213" s="10">
        <v>167.1</v>
      </c>
      <c r="C213" s="10">
        <f t="shared" si="13"/>
        <v>0.40000000000000568</v>
      </c>
      <c r="D213" s="16">
        <f t="shared" si="14"/>
        <v>0.2399520095980838</v>
      </c>
      <c r="G213" s="15">
        <f t="shared" si="15"/>
        <v>36373</v>
      </c>
      <c r="H213" s="11">
        <v>0.2399520095980838</v>
      </c>
    </row>
    <row r="214" spans="1:8">
      <c r="A214" s="15">
        <f t="shared" si="12"/>
        <v>36404</v>
      </c>
      <c r="B214" s="10">
        <v>167.9</v>
      </c>
      <c r="C214" s="10">
        <f t="shared" si="13"/>
        <v>0.80000000000001137</v>
      </c>
      <c r="D214" s="16">
        <f t="shared" si="14"/>
        <v>0.47875523638540479</v>
      </c>
      <c r="G214" s="15">
        <f t="shared" si="15"/>
        <v>36404</v>
      </c>
      <c r="H214" s="11">
        <v>0.47875523638540479</v>
      </c>
    </row>
    <row r="215" spans="1:8">
      <c r="A215" s="15">
        <f t="shared" si="12"/>
        <v>36434</v>
      </c>
      <c r="B215" s="10">
        <v>168.2</v>
      </c>
      <c r="C215" s="10">
        <f t="shared" si="13"/>
        <v>0.29999999999998295</v>
      </c>
      <c r="D215" s="16">
        <f t="shared" si="14"/>
        <v>0.17867778439546333</v>
      </c>
      <c r="G215" s="15">
        <f t="shared" si="15"/>
        <v>36434</v>
      </c>
      <c r="H215" s="11">
        <v>0.17867778439546333</v>
      </c>
    </row>
    <row r="216" spans="1:8">
      <c r="A216" s="15">
        <f t="shared" si="12"/>
        <v>36465</v>
      </c>
      <c r="B216" s="10">
        <v>168.3</v>
      </c>
      <c r="C216" s="10">
        <f t="shared" si="13"/>
        <v>0.10000000000002274</v>
      </c>
      <c r="D216" s="16">
        <f t="shared" si="14"/>
        <v>5.945303210465086E-2</v>
      </c>
      <c r="G216" s="15">
        <f t="shared" si="15"/>
        <v>36465</v>
      </c>
      <c r="H216" s="11">
        <v>5.945303210465086E-2</v>
      </c>
    </row>
    <row r="217" spans="1:8">
      <c r="A217" s="15">
        <f t="shared" si="12"/>
        <v>36495</v>
      </c>
      <c r="B217" s="10">
        <v>168.3</v>
      </c>
      <c r="C217" s="10">
        <f t="shared" si="13"/>
        <v>0</v>
      </c>
      <c r="D217" s="16">
        <f t="shared" si="14"/>
        <v>0</v>
      </c>
      <c r="G217" s="15">
        <f t="shared" si="15"/>
        <v>36495</v>
      </c>
      <c r="H217" s="11">
        <v>0</v>
      </c>
    </row>
    <row r="218" spans="1:8">
      <c r="A218" s="15">
        <f t="shared" si="12"/>
        <v>36526</v>
      </c>
      <c r="B218">
        <v>168.8</v>
      </c>
      <c r="C218" s="10">
        <f t="shared" si="13"/>
        <v>0.5</v>
      </c>
      <c r="D218" s="16">
        <f t="shared" si="14"/>
        <v>0.29708853238265004</v>
      </c>
      <c r="G218" s="15">
        <f t="shared" si="15"/>
        <v>36526</v>
      </c>
      <c r="H218" s="11">
        <v>0.29708853238265004</v>
      </c>
    </row>
    <row r="219" spans="1:8">
      <c r="A219" s="15">
        <f t="shared" si="12"/>
        <v>36557</v>
      </c>
      <c r="B219">
        <v>169.8</v>
      </c>
      <c r="C219" s="10">
        <f t="shared" si="13"/>
        <v>1</v>
      </c>
      <c r="D219" s="16">
        <f t="shared" si="14"/>
        <v>0.59241706161137442</v>
      </c>
      <c r="G219" s="15">
        <f t="shared" si="15"/>
        <v>36557</v>
      </c>
      <c r="H219" s="11">
        <v>0.59241706161137442</v>
      </c>
    </row>
    <row r="220" spans="1:8">
      <c r="A220" s="15">
        <f t="shared" si="12"/>
        <v>36586</v>
      </c>
      <c r="B220">
        <v>171.2</v>
      </c>
      <c r="C220" s="10">
        <f t="shared" si="13"/>
        <v>1.3999999999999773</v>
      </c>
      <c r="D220" s="16">
        <f t="shared" si="14"/>
        <v>0.82449941107183589</v>
      </c>
      <c r="G220" s="15">
        <f t="shared" si="15"/>
        <v>36586</v>
      </c>
      <c r="H220" s="11">
        <v>0.82449941107183589</v>
      </c>
    </row>
    <row r="221" spans="1:8">
      <c r="A221" s="15">
        <f t="shared" si="12"/>
        <v>36617</v>
      </c>
      <c r="B221">
        <v>171.3</v>
      </c>
      <c r="C221" s="10">
        <f t="shared" si="13"/>
        <v>0.10000000000002274</v>
      </c>
      <c r="D221" s="16">
        <f t="shared" si="14"/>
        <v>5.8411214953284316E-2</v>
      </c>
      <c r="G221" s="15">
        <f t="shared" si="15"/>
        <v>36617</v>
      </c>
      <c r="H221" s="11">
        <v>5.8411214953284316E-2</v>
      </c>
    </row>
    <row r="222" spans="1:8">
      <c r="A222" s="15">
        <f t="shared" si="12"/>
        <v>36647</v>
      </c>
      <c r="B222">
        <v>171.5</v>
      </c>
      <c r="C222" s="10">
        <f t="shared" si="13"/>
        <v>0.19999999999998863</v>
      </c>
      <c r="D222" s="16">
        <f t="shared" si="14"/>
        <v>0.11675423234091573</v>
      </c>
      <c r="G222" s="15">
        <f t="shared" si="15"/>
        <v>36647</v>
      </c>
      <c r="H222" s="11">
        <v>0.11675423234091573</v>
      </c>
    </row>
    <row r="223" spans="1:8">
      <c r="A223" s="15">
        <f t="shared" si="12"/>
        <v>36678</v>
      </c>
      <c r="B223">
        <v>172.4</v>
      </c>
      <c r="C223" s="10">
        <f t="shared" si="13"/>
        <v>0.90000000000000568</v>
      </c>
      <c r="D223" s="16">
        <f t="shared" si="14"/>
        <v>0.524781341107875</v>
      </c>
      <c r="G223" s="15">
        <f t="shared" si="15"/>
        <v>36678</v>
      </c>
      <c r="H223" s="11">
        <v>0.524781341107875</v>
      </c>
    </row>
    <row r="224" spans="1:8">
      <c r="A224" s="15">
        <f t="shared" si="12"/>
        <v>36708</v>
      </c>
      <c r="B224">
        <v>172.8</v>
      </c>
      <c r="C224" s="10">
        <f t="shared" si="13"/>
        <v>0.40000000000000568</v>
      </c>
      <c r="D224" s="16">
        <f t="shared" si="14"/>
        <v>0.23201856148492209</v>
      </c>
      <c r="G224" s="15">
        <f t="shared" si="15"/>
        <v>36708</v>
      </c>
      <c r="H224" s="11">
        <v>0.23201856148492209</v>
      </c>
    </row>
    <row r="225" spans="1:8">
      <c r="A225" s="15">
        <f t="shared" si="12"/>
        <v>36739</v>
      </c>
      <c r="B225">
        <v>172.8</v>
      </c>
      <c r="C225" s="10">
        <f t="shared" si="13"/>
        <v>0</v>
      </c>
      <c r="D225" s="16">
        <f t="shared" si="14"/>
        <v>0</v>
      </c>
      <c r="G225" s="15">
        <f t="shared" si="15"/>
        <v>36739</v>
      </c>
      <c r="H225" s="11">
        <v>0</v>
      </c>
    </row>
    <row r="226" spans="1:8">
      <c r="A226" s="15">
        <f t="shared" si="12"/>
        <v>36770</v>
      </c>
      <c r="B226">
        <v>173.7</v>
      </c>
      <c r="C226" s="10">
        <f t="shared" si="13"/>
        <v>0.89999999999997726</v>
      </c>
      <c r="D226" s="16">
        <f t="shared" si="14"/>
        <v>0.52083333333332016</v>
      </c>
      <c r="G226" s="15">
        <f t="shared" si="15"/>
        <v>36770</v>
      </c>
      <c r="H226" s="11">
        <v>0.52083333333332016</v>
      </c>
    </row>
    <row r="227" spans="1:8">
      <c r="A227" s="15">
        <f t="shared" si="12"/>
        <v>36800</v>
      </c>
      <c r="B227">
        <v>174</v>
      </c>
      <c r="C227" s="10">
        <f t="shared" si="13"/>
        <v>0.30000000000001137</v>
      </c>
      <c r="D227" s="16">
        <f t="shared" si="14"/>
        <v>0.17271157167530882</v>
      </c>
      <c r="G227" s="15">
        <f t="shared" si="15"/>
        <v>36800</v>
      </c>
      <c r="H227" s="11">
        <v>0.17271157167530882</v>
      </c>
    </row>
    <row r="228" spans="1:8">
      <c r="A228" s="15">
        <f t="shared" si="12"/>
        <v>36831</v>
      </c>
      <c r="B228">
        <v>174.1</v>
      </c>
      <c r="C228" s="10">
        <f t="shared" si="13"/>
        <v>9.9999999999994316E-2</v>
      </c>
      <c r="D228" s="16">
        <f t="shared" si="14"/>
        <v>5.747126436781283E-2</v>
      </c>
      <c r="G228" s="15">
        <f t="shared" si="15"/>
        <v>36831</v>
      </c>
      <c r="H228" s="11">
        <v>5.747126436781283E-2</v>
      </c>
    </row>
    <row r="229" spans="1:8">
      <c r="A229" s="15">
        <f t="shared" si="12"/>
        <v>36861</v>
      </c>
      <c r="B229">
        <v>174</v>
      </c>
      <c r="C229" s="10">
        <f t="shared" si="13"/>
        <v>-9.9999999999994316E-2</v>
      </c>
      <c r="D229" s="16">
        <f t="shared" si="14"/>
        <v>-5.7438253877078876E-2</v>
      </c>
      <c r="G229" s="15">
        <f t="shared" si="15"/>
        <v>36861</v>
      </c>
      <c r="H229" s="11">
        <v>-5.7438253877078876E-2</v>
      </c>
    </row>
    <row r="230" spans="1:8">
      <c r="A230" s="15">
        <f t="shared" si="12"/>
        <v>36892</v>
      </c>
      <c r="B230">
        <v>175.1</v>
      </c>
      <c r="C230" s="10">
        <f t="shared" si="13"/>
        <v>1.0999999999999943</v>
      </c>
      <c r="D230" s="16">
        <f t="shared" si="14"/>
        <v>0.63218390804597369</v>
      </c>
      <c r="G230" s="15">
        <f t="shared" si="15"/>
        <v>36892</v>
      </c>
      <c r="H230" s="11">
        <v>0.63218390804597369</v>
      </c>
    </row>
    <row r="231" spans="1:8">
      <c r="A231" s="15">
        <f t="shared" si="12"/>
        <v>36923</v>
      </c>
      <c r="B231">
        <v>175.8</v>
      </c>
      <c r="C231" s="10">
        <f t="shared" si="13"/>
        <v>0.70000000000001705</v>
      </c>
      <c r="D231" s="16">
        <f t="shared" si="14"/>
        <v>0.39977155910909024</v>
      </c>
      <c r="G231" s="15">
        <f t="shared" si="15"/>
        <v>36923</v>
      </c>
      <c r="H231" s="11">
        <v>0.39977155910909024</v>
      </c>
    </row>
    <row r="232" spans="1:8">
      <c r="A232" s="15">
        <f t="shared" si="12"/>
        <v>36951</v>
      </c>
      <c r="B232">
        <v>176.2</v>
      </c>
      <c r="C232" s="10">
        <f t="shared" si="13"/>
        <v>0.39999999999997726</v>
      </c>
      <c r="D232" s="16">
        <f t="shared" si="14"/>
        <v>0.22753128555175042</v>
      </c>
      <c r="G232" s="15">
        <f t="shared" si="15"/>
        <v>36951</v>
      </c>
      <c r="H232" s="11">
        <v>0.22753128555175042</v>
      </c>
    </row>
    <row r="233" spans="1:8">
      <c r="A233" s="15">
        <f t="shared" si="12"/>
        <v>36982</v>
      </c>
      <c r="B233">
        <v>176.9</v>
      </c>
      <c r="C233" s="10">
        <f t="shared" si="13"/>
        <v>0.70000000000001705</v>
      </c>
      <c r="D233" s="16">
        <f t="shared" si="14"/>
        <v>0.39727582292850006</v>
      </c>
      <c r="G233" s="15">
        <f t="shared" si="15"/>
        <v>36982</v>
      </c>
      <c r="H233" s="11">
        <v>0.39727582292850006</v>
      </c>
    </row>
    <row r="234" spans="1:8">
      <c r="A234" s="15">
        <f t="shared" si="12"/>
        <v>37012</v>
      </c>
      <c r="B234">
        <v>177.7</v>
      </c>
      <c r="C234" s="10">
        <f t="shared" si="13"/>
        <v>0.79999999999998295</v>
      </c>
      <c r="D234" s="16">
        <f t="shared" si="14"/>
        <v>0.45223289994346122</v>
      </c>
      <c r="G234" s="15">
        <f t="shared" si="15"/>
        <v>37012</v>
      </c>
      <c r="H234" s="11">
        <v>0.45223289994346122</v>
      </c>
    </row>
    <row r="235" spans="1:8">
      <c r="A235" s="15">
        <f t="shared" si="12"/>
        <v>37043</v>
      </c>
      <c r="B235">
        <v>178</v>
      </c>
      <c r="C235" s="10">
        <f t="shared" si="13"/>
        <v>0.30000000000001137</v>
      </c>
      <c r="D235" s="16">
        <f t="shared" si="14"/>
        <v>0.16882386043894845</v>
      </c>
      <c r="G235" s="15">
        <f t="shared" si="15"/>
        <v>37043</v>
      </c>
      <c r="H235" s="11">
        <v>0.16882386043894845</v>
      </c>
    </row>
    <row r="236" spans="1:8">
      <c r="A236" s="15">
        <f t="shared" si="12"/>
        <v>37073</v>
      </c>
      <c r="B236">
        <v>177.5</v>
      </c>
      <c r="C236" s="10">
        <f t="shared" si="13"/>
        <v>-0.5</v>
      </c>
      <c r="D236" s="16">
        <f t="shared" si="14"/>
        <v>-0.2808988764044944</v>
      </c>
      <c r="G236" s="15">
        <f t="shared" si="15"/>
        <v>37073</v>
      </c>
      <c r="H236" s="11">
        <v>-0.2808988764044944</v>
      </c>
    </row>
    <row r="237" spans="1:8">
      <c r="A237" s="15">
        <f t="shared" si="12"/>
        <v>37104</v>
      </c>
      <c r="B237">
        <v>177.5</v>
      </c>
      <c r="C237" s="10">
        <f t="shared" si="13"/>
        <v>0</v>
      </c>
      <c r="D237" s="16">
        <f t="shared" si="14"/>
        <v>0</v>
      </c>
      <c r="G237" s="15">
        <f t="shared" si="15"/>
        <v>37104</v>
      </c>
      <c r="H237" s="11">
        <v>0</v>
      </c>
    </row>
    <row r="238" spans="1:8">
      <c r="A238" s="15">
        <f t="shared" si="12"/>
        <v>37135</v>
      </c>
      <c r="B238">
        <v>178.3</v>
      </c>
      <c r="C238" s="10">
        <f t="shared" si="13"/>
        <v>0.80000000000001137</v>
      </c>
      <c r="D238" s="16">
        <f t="shared" si="14"/>
        <v>0.45070422535211913</v>
      </c>
      <c r="G238" s="15">
        <f t="shared" si="15"/>
        <v>37135</v>
      </c>
      <c r="H238" s="11">
        <v>0.45070422535211913</v>
      </c>
    </row>
    <row r="239" spans="1:8">
      <c r="A239" s="15">
        <f t="shared" si="12"/>
        <v>37165</v>
      </c>
      <c r="B239">
        <v>177.7</v>
      </c>
      <c r="C239" s="10">
        <f t="shared" si="13"/>
        <v>-0.60000000000002274</v>
      </c>
      <c r="D239" s="16">
        <f t="shared" si="14"/>
        <v>-0.33651149747617648</v>
      </c>
      <c r="G239" s="15">
        <f t="shared" si="15"/>
        <v>37165</v>
      </c>
      <c r="H239" s="11">
        <v>-0.33651149747617648</v>
      </c>
    </row>
    <row r="240" spans="1:8">
      <c r="A240" s="15">
        <f t="shared" si="12"/>
        <v>37196</v>
      </c>
      <c r="B240">
        <v>177.4</v>
      </c>
      <c r="C240" s="10">
        <f t="shared" si="13"/>
        <v>-0.29999999999998295</v>
      </c>
      <c r="D240" s="16">
        <f t="shared" si="14"/>
        <v>-0.16882386043893244</v>
      </c>
      <c r="G240" s="15">
        <f t="shared" si="15"/>
        <v>37196</v>
      </c>
      <c r="H240" s="11">
        <v>-0.16882386043893244</v>
      </c>
    </row>
    <row r="241" spans="1:8">
      <c r="A241" s="15">
        <f t="shared" si="12"/>
        <v>37226</v>
      </c>
      <c r="B241">
        <v>176.7</v>
      </c>
      <c r="C241" s="10">
        <f t="shared" si="13"/>
        <v>-0.70000000000001705</v>
      </c>
      <c r="D241" s="16">
        <f t="shared" si="14"/>
        <v>-0.39458850056370748</v>
      </c>
      <c r="G241" s="15">
        <f t="shared" si="15"/>
        <v>37226</v>
      </c>
      <c r="H241" s="11">
        <v>-0.39458850056370748</v>
      </c>
    </row>
    <row r="242" spans="1:8">
      <c r="A242" s="15">
        <f t="shared" si="12"/>
        <v>37257</v>
      </c>
      <c r="B242">
        <v>177.1</v>
      </c>
      <c r="C242" s="10">
        <f t="shared" si="13"/>
        <v>0.40000000000000568</v>
      </c>
      <c r="D242" s="16">
        <f t="shared" si="14"/>
        <v>0.22637238256932976</v>
      </c>
      <c r="G242" s="15">
        <f t="shared" si="15"/>
        <v>37257</v>
      </c>
      <c r="H242" s="11">
        <v>0.22637238256932976</v>
      </c>
    </row>
    <row r="243" spans="1:8">
      <c r="A243" s="15">
        <f t="shared" si="12"/>
        <v>37288</v>
      </c>
      <c r="B243">
        <v>177.8</v>
      </c>
      <c r="C243" s="10">
        <f t="shared" si="13"/>
        <v>0.70000000000001705</v>
      </c>
      <c r="D243" s="16">
        <f t="shared" si="14"/>
        <v>0.39525691699605703</v>
      </c>
      <c r="G243" s="15">
        <f t="shared" si="15"/>
        <v>37288</v>
      </c>
      <c r="H243" s="11">
        <v>0.39525691699605703</v>
      </c>
    </row>
    <row r="244" spans="1:8">
      <c r="A244" s="15">
        <f t="shared" si="12"/>
        <v>37316</v>
      </c>
      <c r="B244">
        <v>178.8</v>
      </c>
      <c r="C244" s="10">
        <f t="shared" si="13"/>
        <v>1</v>
      </c>
      <c r="D244" s="16">
        <f t="shared" si="14"/>
        <v>0.56242969628796402</v>
      </c>
      <c r="G244" s="15">
        <f t="shared" si="15"/>
        <v>37316</v>
      </c>
      <c r="H244" s="11">
        <v>0.56242969628796402</v>
      </c>
    </row>
    <row r="245" spans="1:8">
      <c r="A245" s="15">
        <f t="shared" si="12"/>
        <v>37347</v>
      </c>
      <c r="B245">
        <v>179.8</v>
      </c>
      <c r="C245" s="10">
        <f t="shared" si="13"/>
        <v>1</v>
      </c>
      <c r="D245" s="16">
        <f t="shared" si="14"/>
        <v>0.55928411633109609</v>
      </c>
      <c r="G245" s="15">
        <f t="shared" si="15"/>
        <v>37347</v>
      </c>
      <c r="H245" s="11">
        <v>0.55928411633109609</v>
      </c>
    </row>
    <row r="246" spans="1:8">
      <c r="A246" s="15">
        <f t="shared" si="12"/>
        <v>37377</v>
      </c>
      <c r="B246">
        <v>179.8</v>
      </c>
      <c r="C246" s="10">
        <f t="shared" si="13"/>
        <v>0</v>
      </c>
      <c r="D246" s="16">
        <f t="shared" si="14"/>
        <v>0</v>
      </c>
      <c r="G246" s="15">
        <f t="shared" si="15"/>
        <v>37377</v>
      </c>
      <c r="H246" s="11">
        <v>0</v>
      </c>
    </row>
    <row r="247" spans="1:8">
      <c r="A247" s="15">
        <f t="shared" si="12"/>
        <v>37408</v>
      </c>
      <c r="B247">
        <v>179.9</v>
      </c>
      <c r="C247" s="10">
        <f t="shared" si="13"/>
        <v>9.9999999999994316E-2</v>
      </c>
      <c r="D247" s="16">
        <f t="shared" si="14"/>
        <v>5.5617352614012405E-2</v>
      </c>
      <c r="G247" s="15">
        <f t="shared" si="15"/>
        <v>37408</v>
      </c>
      <c r="H247" s="11">
        <v>5.5617352614012405E-2</v>
      </c>
    </row>
    <row r="248" spans="1:8">
      <c r="A248" s="15">
        <f t="shared" si="12"/>
        <v>37438</v>
      </c>
      <c r="B248">
        <v>180.1</v>
      </c>
      <c r="C248" s="10">
        <f t="shared" si="13"/>
        <v>0.19999999999998863</v>
      </c>
      <c r="D248" s="16">
        <f t="shared" si="14"/>
        <v>0.11117287381878189</v>
      </c>
      <c r="G248" s="15">
        <f t="shared" si="15"/>
        <v>37438</v>
      </c>
      <c r="H248" s="11">
        <v>0.11117287381878189</v>
      </c>
    </row>
    <row r="249" spans="1:8">
      <c r="A249" s="15">
        <f t="shared" si="12"/>
        <v>37469</v>
      </c>
      <c r="B249">
        <v>180.7</v>
      </c>
      <c r="C249" s="10">
        <f t="shared" si="13"/>
        <v>0.59999999999999432</v>
      </c>
      <c r="D249" s="16">
        <f t="shared" si="14"/>
        <v>0.33314825097167922</v>
      </c>
      <c r="G249" s="15">
        <f t="shared" si="15"/>
        <v>37469</v>
      </c>
      <c r="H249" s="11">
        <v>0.33314825097167922</v>
      </c>
    </row>
    <row r="250" spans="1:8">
      <c r="A250" s="15">
        <f t="shared" si="12"/>
        <v>37500</v>
      </c>
      <c r="B250">
        <v>181</v>
      </c>
      <c r="C250" s="10">
        <f t="shared" si="13"/>
        <v>0.30000000000001137</v>
      </c>
      <c r="D250" s="16">
        <f t="shared" si="14"/>
        <v>0.16602102933038815</v>
      </c>
      <c r="G250" s="15">
        <f t="shared" si="15"/>
        <v>37500</v>
      </c>
      <c r="H250" s="11">
        <v>0.16602102933038815</v>
      </c>
    </row>
    <row r="251" spans="1:8">
      <c r="A251" s="15">
        <f t="shared" si="12"/>
        <v>37530</v>
      </c>
      <c r="B251">
        <v>181.3</v>
      </c>
      <c r="C251" s="10">
        <f t="shared" si="13"/>
        <v>0.30000000000001137</v>
      </c>
      <c r="D251" s="16">
        <f t="shared" si="14"/>
        <v>0.16574585635359745</v>
      </c>
      <c r="G251" s="15">
        <f t="shared" si="15"/>
        <v>37530</v>
      </c>
      <c r="H251" s="11">
        <v>0.16574585635359745</v>
      </c>
    </row>
    <row r="252" spans="1:8">
      <c r="A252" s="15">
        <f t="shared" si="12"/>
        <v>37561</v>
      </c>
      <c r="B252">
        <v>181.3</v>
      </c>
      <c r="C252" s="10">
        <f t="shared" si="13"/>
        <v>0</v>
      </c>
      <c r="D252" s="16">
        <f t="shared" si="14"/>
        <v>0</v>
      </c>
      <c r="G252" s="15">
        <f t="shared" si="15"/>
        <v>37561</v>
      </c>
      <c r="H252" s="11">
        <v>0</v>
      </c>
    </row>
    <row r="253" spans="1:8">
      <c r="A253" s="15">
        <f t="shared" si="12"/>
        <v>37591</v>
      </c>
      <c r="B253">
        <v>180.9</v>
      </c>
      <c r="C253" s="10">
        <f t="shared" si="13"/>
        <v>-0.40000000000000568</v>
      </c>
      <c r="D253" s="16">
        <f t="shared" si="14"/>
        <v>-0.22062879205736663</v>
      </c>
      <c r="G253" s="15">
        <f t="shared" si="15"/>
        <v>37591</v>
      </c>
      <c r="H253" s="11">
        <v>-0.22062879205736663</v>
      </c>
    </row>
    <row r="254" spans="1:8">
      <c r="A254" s="15">
        <f t="shared" si="12"/>
        <v>37622</v>
      </c>
      <c r="B254">
        <v>181.7</v>
      </c>
      <c r="C254" s="10">
        <f t="shared" si="13"/>
        <v>0.79999999999998295</v>
      </c>
      <c r="D254" s="16">
        <f t="shared" si="14"/>
        <v>0.44223327805416413</v>
      </c>
      <c r="G254" s="15">
        <f t="shared" si="15"/>
        <v>37622</v>
      </c>
      <c r="H254" s="11">
        <v>0.44223327805416413</v>
      </c>
    </row>
    <row r="255" spans="1:8">
      <c r="A255" s="15">
        <f t="shared" si="12"/>
        <v>37653</v>
      </c>
      <c r="B255">
        <v>183.1</v>
      </c>
      <c r="C255" s="10">
        <f t="shared" si="13"/>
        <v>1.4000000000000057</v>
      </c>
      <c r="D255" s="16">
        <f t="shared" si="14"/>
        <v>0.77050082553660193</v>
      </c>
      <c r="G255" s="15">
        <f t="shared" si="15"/>
        <v>37653</v>
      </c>
      <c r="H255" s="11">
        <v>0.77050082553660193</v>
      </c>
    </row>
    <row r="256" spans="1:8">
      <c r="A256" s="15">
        <f t="shared" si="12"/>
        <v>37681</v>
      </c>
      <c r="B256">
        <v>184.2</v>
      </c>
      <c r="C256" s="10">
        <f t="shared" si="13"/>
        <v>1.0999999999999943</v>
      </c>
      <c r="D256" s="16">
        <f t="shared" si="14"/>
        <v>0.6007646095030007</v>
      </c>
      <c r="G256" s="15">
        <f t="shared" si="15"/>
        <v>37681</v>
      </c>
      <c r="H256" s="11">
        <v>0.6007646095030007</v>
      </c>
    </row>
    <row r="257" spans="1:8">
      <c r="A257" s="15">
        <f t="shared" si="12"/>
        <v>37712</v>
      </c>
      <c r="B257">
        <v>183.8</v>
      </c>
      <c r="C257" s="10">
        <f t="shared" si="13"/>
        <v>-0.39999999999997726</v>
      </c>
      <c r="D257" s="16">
        <f t="shared" si="14"/>
        <v>-0.21715526601518853</v>
      </c>
      <c r="G257" s="15">
        <f t="shared" si="15"/>
        <v>37712</v>
      </c>
      <c r="H257" s="11">
        <v>-0.21715526601518853</v>
      </c>
    </row>
    <row r="258" spans="1:8">
      <c r="A258" s="15">
        <f t="shared" si="12"/>
        <v>37742</v>
      </c>
      <c r="B258">
        <v>183.5</v>
      </c>
      <c r="C258" s="10">
        <f t="shared" si="13"/>
        <v>-0.30000000000001137</v>
      </c>
      <c r="D258" s="16">
        <f t="shared" si="14"/>
        <v>-0.16322089227421729</v>
      </c>
      <c r="G258" s="15">
        <f t="shared" si="15"/>
        <v>37742</v>
      </c>
      <c r="H258" s="11">
        <v>-0.16322089227421729</v>
      </c>
    </row>
    <row r="259" spans="1:8">
      <c r="A259" s="15">
        <f t="shared" si="12"/>
        <v>37773</v>
      </c>
      <c r="B259">
        <v>183.7</v>
      </c>
      <c r="C259" s="10">
        <f t="shared" si="13"/>
        <v>0.19999999999998863</v>
      </c>
      <c r="D259" s="16">
        <f t="shared" si="14"/>
        <v>0.10899182561307283</v>
      </c>
      <c r="G259" s="15">
        <f t="shared" si="15"/>
        <v>37773</v>
      </c>
      <c r="H259" s="11">
        <v>0.10899182561307283</v>
      </c>
    </row>
    <row r="260" spans="1:8">
      <c r="A260" s="15">
        <f t="shared" ref="A260:A323" si="16">EDATE(A259,1)</f>
        <v>37803</v>
      </c>
      <c r="B260">
        <v>183.9</v>
      </c>
      <c r="C260" s="10">
        <f t="shared" ref="C260:C323" si="17">B260-B259</f>
        <v>0.20000000000001705</v>
      </c>
      <c r="D260" s="16">
        <f t="shared" ref="D260:D323" si="18">(B260-B259)/B259*100</f>
        <v>0.10887316276538762</v>
      </c>
      <c r="G260" s="15">
        <f t="shared" ref="G260:G323" si="19">EDATE(G259,1)</f>
        <v>37803</v>
      </c>
      <c r="H260" s="11">
        <v>0.10887316276538762</v>
      </c>
    </row>
    <row r="261" spans="1:8">
      <c r="A261" s="15">
        <f t="shared" si="16"/>
        <v>37834</v>
      </c>
      <c r="B261">
        <v>184.6</v>
      </c>
      <c r="C261" s="10">
        <f t="shared" si="17"/>
        <v>0.69999999999998863</v>
      </c>
      <c r="D261" s="16">
        <f t="shared" si="18"/>
        <v>0.38064165307231573</v>
      </c>
      <c r="G261" s="15">
        <f t="shared" si="19"/>
        <v>37834</v>
      </c>
      <c r="H261" s="11">
        <v>0.38064165307231573</v>
      </c>
    </row>
    <row r="262" spans="1:8">
      <c r="A262" s="15">
        <f t="shared" si="16"/>
        <v>37865</v>
      </c>
      <c r="B262">
        <v>185.2</v>
      </c>
      <c r="C262" s="10">
        <f t="shared" si="17"/>
        <v>0.59999999999999432</v>
      </c>
      <c r="D262" s="16">
        <f t="shared" si="18"/>
        <v>0.32502708559046278</v>
      </c>
      <c r="G262" s="15">
        <f t="shared" si="19"/>
        <v>37865</v>
      </c>
      <c r="H262" s="11">
        <v>0.32502708559046278</v>
      </c>
    </row>
    <row r="263" spans="1:8">
      <c r="A263" s="15">
        <f t="shared" si="16"/>
        <v>37895</v>
      </c>
      <c r="B263">
        <v>185</v>
      </c>
      <c r="C263" s="10">
        <f t="shared" si="17"/>
        <v>-0.19999999999998863</v>
      </c>
      <c r="D263" s="16">
        <f t="shared" si="18"/>
        <v>-0.10799136069113857</v>
      </c>
      <c r="G263" s="15">
        <f t="shared" si="19"/>
        <v>37895</v>
      </c>
      <c r="H263" s="11">
        <v>-0.10799136069113857</v>
      </c>
    </row>
    <row r="264" spans="1:8">
      <c r="A264" s="15">
        <f t="shared" si="16"/>
        <v>37926</v>
      </c>
      <c r="B264">
        <v>184.5</v>
      </c>
      <c r="C264" s="10">
        <f t="shared" si="17"/>
        <v>-0.5</v>
      </c>
      <c r="D264" s="16">
        <f t="shared" si="18"/>
        <v>-0.27027027027027029</v>
      </c>
      <c r="G264" s="15">
        <f t="shared" si="19"/>
        <v>37926</v>
      </c>
      <c r="H264" s="11">
        <v>-0.27027027027027029</v>
      </c>
    </row>
    <row r="265" spans="1:8">
      <c r="A265" s="15">
        <f t="shared" si="16"/>
        <v>37956</v>
      </c>
      <c r="B265">
        <v>184.3</v>
      </c>
      <c r="C265" s="10">
        <f t="shared" si="17"/>
        <v>-0.19999999999998863</v>
      </c>
      <c r="D265" s="16">
        <f t="shared" si="18"/>
        <v>-0.10840108401083395</v>
      </c>
      <c r="G265" s="15">
        <f t="shared" si="19"/>
        <v>37956</v>
      </c>
      <c r="H265" s="11">
        <v>-0.10840108401083395</v>
      </c>
    </row>
    <row r="266" spans="1:8">
      <c r="A266" s="15">
        <f t="shared" si="16"/>
        <v>37987</v>
      </c>
      <c r="B266">
        <v>185.2</v>
      </c>
      <c r="C266" s="10">
        <f t="shared" si="17"/>
        <v>0.89999999999997726</v>
      </c>
      <c r="D266" s="16">
        <f t="shared" si="18"/>
        <v>0.48833423765598327</v>
      </c>
      <c r="G266" s="15">
        <f t="shared" si="19"/>
        <v>37987</v>
      </c>
      <c r="H266" s="11">
        <v>0.48833423765598327</v>
      </c>
    </row>
    <row r="267" spans="1:8">
      <c r="A267" s="15">
        <f t="shared" si="16"/>
        <v>38018</v>
      </c>
      <c r="B267">
        <v>186.2</v>
      </c>
      <c r="C267" s="10">
        <f t="shared" si="17"/>
        <v>1</v>
      </c>
      <c r="D267" s="16">
        <f t="shared" si="18"/>
        <v>0.53995680345572361</v>
      </c>
      <c r="G267" s="15">
        <f t="shared" si="19"/>
        <v>38018</v>
      </c>
      <c r="H267" s="11">
        <v>0.53995680345572361</v>
      </c>
    </row>
    <row r="268" spans="1:8">
      <c r="A268" s="15">
        <f t="shared" si="16"/>
        <v>38047</v>
      </c>
      <c r="B268">
        <v>187.4</v>
      </c>
      <c r="C268" s="10">
        <f t="shared" si="17"/>
        <v>1.2000000000000171</v>
      </c>
      <c r="D268" s="16">
        <f t="shared" si="18"/>
        <v>0.64446831364125523</v>
      </c>
      <c r="G268" s="15">
        <f t="shared" si="19"/>
        <v>38047</v>
      </c>
      <c r="H268" s="11">
        <v>0.64446831364125523</v>
      </c>
    </row>
    <row r="269" spans="1:8">
      <c r="A269" s="15">
        <f t="shared" si="16"/>
        <v>38078</v>
      </c>
      <c r="B269">
        <v>188</v>
      </c>
      <c r="C269" s="10">
        <f t="shared" si="17"/>
        <v>0.59999999999999432</v>
      </c>
      <c r="D269" s="16">
        <f t="shared" si="18"/>
        <v>0.32017075773745696</v>
      </c>
      <c r="G269" s="15">
        <f t="shared" si="19"/>
        <v>38078</v>
      </c>
      <c r="H269" s="11">
        <v>0.32017075773745696</v>
      </c>
    </row>
    <row r="270" spans="1:8">
      <c r="A270" s="15">
        <f t="shared" si="16"/>
        <v>38108</v>
      </c>
      <c r="B270">
        <v>189.1</v>
      </c>
      <c r="C270" s="10">
        <f t="shared" si="17"/>
        <v>1.0999999999999943</v>
      </c>
      <c r="D270" s="16">
        <f t="shared" si="18"/>
        <v>0.58510638297872031</v>
      </c>
      <c r="G270" s="15">
        <f t="shared" si="19"/>
        <v>38108</v>
      </c>
      <c r="H270" s="11">
        <v>0.58510638297872031</v>
      </c>
    </row>
    <row r="271" spans="1:8">
      <c r="A271" s="15">
        <f t="shared" si="16"/>
        <v>38139</v>
      </c>
      <c r="B271">
        <v>189.7</v>
      </c>
      <c r="C271" s="10">
        <f t="shared" si="17"/>
        <v>0.59999999999999432</v>
      </c>
      <c r="D271" s="16">
        <f t="shared" si="18"/>
        <v>0.31729243786356126</v>
      </c>
      <c r="G271" s="15">
        <f t="shared" si="19"/>
        <v>38139</v>
      </c>
      <c r="H271" s="11">
        <v>0.31729243786356126</v>
      </c>
    </row>
    <row r="272" spans="1:8">
      <c r="A272" s="15">
        <f t="shared" si="16"/>
        <v>38169</v>
      </c>
      <c r="B272">
        <v>189.4</v>
      </c>
      <c r="C272" s="10">
        <f t="shared" si="17"/>
        <v>-0.29999999999998295</v>
      </c>
      <c r="D272" s="16">
        <f t="shared" si="18"/>
        <v>-0.15814443858723404</v>
      </c>
      <c r="G272" s="15">
        <f t="shared" si="19"/>
        <v>38169</v>
      </c>
      <c r="H272" s="11">
        <v>-0.15814443858723404</v>
      </c>
    </row>
    <row r="273" spans="1:8">
      <c r="A273" s="15">
        <f t="shared" si="16"/>
        <v>38200</v>
      </c>
      <c r="B273">
        <v>189.5</v>
      </c>
      <c r="C273" s="10">
        <f t="shared" si="17"/>
        <v>9.9999999999994316E-2</v>
      </c>
      <c r="D273" s="16">
        <f t="shared" si="18"/>
        <v>5.2798310454062462E-2</v>
      </c>
      <c r="G273" s="15">
        <f t="shared" si="19"/>
        <v>38200</v>
      </c>
      <c r="H273" s="11">
        <v>5.2798310454062462E-2</v>
      </c>
    </row>
    <row r="274" spans="1:8">
      <c r="A274" s="15">
        <f t="shared" si="16"/>
        <v>38231</v>
      </c>
      <c r="B274">
        <v>189.9</v>
      </c>
      <c r="C274" s="10">
        <f t="shared" si="17"/>
        <v>0.40000000000000568</v>
      </c>
      <c r="D274" s="16">
        <f t="shared" si="18"/>
        <v>0.21108179419525364</v>
      </c>
      <c r="G274" s="15">
        <f t="shared" si="19"/>
        <v>38231</v>
      </c>
      <c r="H274" s="11">
        <v>0.21108179419525364</v>
      </c>
    </row>
    <row r="275" spans="1:8">
      <c r="A275" s="15">
        <f t="shared" si="16"/>
        <v>38261</v>
      </c>
      <c r="B275">
        <v>190.9</v>
      </c>
      <c r="C275" s="10">
        <f t="shared" si="17"/>
        <v>1</v>
      </c>
      <c r="D275" s="16">
        <f t="shared" si="18"/>
        <v>0.526592943654555</v>
      </c>
      <c r="G275" s="15">
        <f t="shared" si="19"/>
        <v>38261</v>
      </c>
      <c r="H275" s="11">
        <v>0.526592943654555</v>
      </c>
    </row>
    <row r="276" spans="1:8">
      <c r="A276" s="15">
        <f t="shared" si="16"/>
        <v>38292</v>
      </c>
      <c r="B276">
        <v>191</v>
      </c>
      <c r="C276" s="10">
        <f t="shared" si="17"/>
        <v>9.9999999999994316E-2</v>
      </c>
      <c r="D276" s="16">
        <f t="shared" si="18"/>
        <v>5.2383446830798486E-2</v>
      </c>
      <c r="G276" s="15">
        <f t="shared" si="19"/>
        <v>38292</v>
      </c>
      <c r="H276" s="11">
        <v>5.2383446830798486E-2</v>
      </c>
    </row>
    <row r="277" spans="1:8">
      <c r="A277" s="15">
        <f t="shared" si="16"/>
        <v>38322</v>
      </c>
      <c r="B277">
        <v>190.3</v>
      </c>
      <c r="C277" s="10">
        <f t="shared" si="17"/>
        <v>-0.69999999999998863</v>
      </c>
      <c r="D277" s="16">
        <f t="shared" si="18"/>
        <v>-0.3664921465968527</v>
      </c>
      <c r="G277" s="15">
        <f t="shared" si="19"/>
        <v>38322</v>
      </c>
      <c r="H277" s="11">
        <v>-0.3664921465968527</v>
      </c>
    </row>
    <row r="278" spans="1:8">
      <c r="A278" s="15">
        <f t="shared" si="16"/>
        <v>38353</v>
      </c>
      <c r="B278" s="10">
        <v>190.7</v>
      </c>
      <c r="C278" s="10">
        <f t="shared" si="17"/>
        <v>0.39999999999997726</v>
      </c>
      <c r="D278" s="16">
        <f t="shared" si="18"/>
        <v>0.21019442984759706</v>
      </c>
      <c r="G278" s="15">
        <f t="shared" si="19"/>
        <v>38353</v>
      </c>
      <c r="H278" s="11">
        <v>0.21019442984759706</v>
      </c>
    </row>
    <row r="279" spans="1:8">
      <c r="A279" s="15">
        <f t="shared" si="16"/>
        <v>38384</v>
      </c>
      <c r="B279" s="10">
        <v>191.8</v>
      </c>
      <c r="C279" s="10">
        <f t="shared" si="17"/>
        <v>1.1000000000000227</v>
      </c>
      <c r="D279" s="16">
        <f t="shared" si="18"/>
        <v>0.57682223387520859</v>
      </c>
      <c r="G279" s="15">
        <f t="shared" si="19"/>
        <v>38384</v>
      </c>
      <c r="H279" s="11">
        <v>0.57682223387520859</v>
      </c>
    </row>
    <row r="280" spans="1:8">
      <c r="A280" s="15">
        <f t="shared" si="16"/>
        <v>38412</v>
      </c>
      <c r="B280" s="10">
        <v>193.3</v>
      </c>
      <c r="C280" s="10">
        <f t="shared" si="17"/>
        <v>1.5</v>
      </c>
      <c r="D280" s="16">
        <f t="shared" si="18"/>
        <v>0.7820646506777893</v>
      </c>
      <c r="G280" s="15">
        <f t="shared" si="19"/>
        <v>38412</v>
      </c>
      <c r="H280" s="11">
        <v>0.7820646506777893</v>
      </c>
    </row>
    <row r="281" spans="1:8">
      <c r="A281" s="15">
        <f t="shared" si="16"/>
        <v>38443</v>
      </c>
      <c r="B281" s="10">
        <v>194.6</v>
      </c>
      <c r="C281" s="10">
        <f t="shared" si="17"/>
        <v>1.2999999999999829</v>
      </c>
      <c r="D281" s="16">
        <f t="shared" si="18"/>
        <v>0.67252974650800978</v>
      </c>
      <c r="G281" s="15">
        <f t="shared" si="19"/>
        <v>38443</v>
      </c>
      <c r="H281" s="11">
        <v>0.67252974650800978</v>
      </c>
    </row>
    <row r="282" spans="1:8">
      <c r="A282" s="15">
        <f t="shared" si="16"/>
        <v>38473</v>
      </c>
      <c r="B282" s="10">
        <v>194.4</v>
      </c>
      <c r="C282" s="10">
        <f t="shared" si="17"/>
        <v>-0.19999999999998863</v>
      </c>
      <c r="D282" s="16">
        <f t="shared" si="18"/>
        <v>-0.10277492291880198</v>
      </c>
      <c r="G282" s="15">
        <f t="shared" si="19"/>
        <v>38473</v>
      </c>
      <c r="H282" s="11">
        <v>-0.10277492291880198</v>
      </c>
    </row>
    <row r="283" spans="1:8">
      <c r="A283" s="15">
        <f t="shared" si="16"/>
        <v>38504</v>
      </c>
      <c r="B283" s="10">
        <v>194.5</v>
      </c>
      <c r="C283" s="10">
        <f t="shared" si="17"/>
        <v>9.9999999999994316E-2</v>
      </c>
      <c r="D283" s="16">
        <f t="shared" si="18"/>
        <v>5.1440329218104069E-2</v>
      </c>
      <c r="G283" s="15">
        <f t="shared" si="19"/>
        <v>38504</v>
      </c>
      <c r="H283" s="11">
        <v>5.1440329218104069E-2</v>
      </c>
    </row>
    <row r="284" spans="1:8">
      <c r="A284" s="15">
        <f t="shared" si="16"/>
        <v>38534</v>
      </c>
      <c r="B284" s="10">
        <v>195.4</v>
      </c>
      <c r="C284" s="10">
        <f t="shared" si="17"/>
        <v>0.90000000000000568</v>
      </c>
      <c r="D284" s="16">
        <f t="shared" si="18"/>
        <v>0.46272493573265078</v>
      </c>
      <c r="G284" s="15">
        <f t="shared" si="19"/>
        <v>38534</v>
      </c>
      <c r="H284" s="11">
        <v>0.46272493573265078</v>
      </c>
    </row>
    <row r="285" spans="1:8">
      <c r="A285" s="15">
        <f t="shared" si="16"/>
        <v>38565</v>
      </c>
      <c r="B285" s="10">
        <v>196.4</v>
      </c>
      <c r="C285" s="10">
        <f t="shared" si="17"/>
        <v>1</v>
      </c>
      <c r="D285" s="16">
        <f t="shared" si="18"/>
        <v>0.51177072671443191</v>
      </c>
      <c r="G285" s="15">
        <f t="shared" si="19"/>
        <v>38565</v>
      </c>
      <c r="H285" s="11">
        <v>0.51177072671443191</v>
      </c>
    </row>
    <row r="286" spans="1:8">
      <c r="A286" s="15">
        <f t="shared" si="16"/>
        <v>38596</v>
      </c>
      <c r="B286" s="10">
        <v>198.8</v>
      </c>
      <c r="C286" s="10">
        <f t="shared" si="17"/>
        <v>2.4000000000000057</v>
      </c>
      <c r="D286" s="16">
        <f t="shared" si="18"/>
        <v>1.2219959266802474</v>
      </c>
      <c r="G286" s="15">
        <f t="shared" si="19"/>
        <v>38596</v>
      </c>
      <c r="H286" s="11">
        <v>1.2219959266802474</v>
      </c>
    </row>
    <row r="287" spans="1:8">
      <c r="A287" s="15">
        <f t="shared" si="16"/>
        <v>38626</v>
      </c>
      <c r="B287" s="10">
        <v>199.2</v>
      </c>
      <c r="C287" s="10">
        <f t="shared" si="17"/>
        <v>0.39999999999997726</v>
      </c>
      <c r="D287" s="16">
        <f t="shared" si="18"/>
        <v>0.20120724346075317</v>
      </c>
      <c r="G287" s="15">
        <f t="shared" si="19"/>
        <v>38626</v>
      </c>
      <c r="H287" s="11">
        <v>0.20120724346075317</v>
      </c>
    </row>
    <row r="288" spans="1:8">
      <c r="A288" s="15">
        <f t="shared" si="16"/>
        <v>38657</v>
      </c>
      <c r="B288" s="10">
        <v>197.6</v>
      </c>
      <c r="C288" s="10">
        <f t="shared" si="17"/>
        <v>-1.5999999999999943</v>
      </c>
      <c r="D288" s="16">
        <f t="shared" si="18"/>
        <v>-0.8032128514056196</v>
      </c>
      <c r="G288" s="15">
        <f t="shared" si="19"/>
        <v>38657</v>
      </c>
      <c r="H288" s="11">
        <v>-0.8032128514056196</v>
      </c>
    </row>
    <row r="289" spans="1:8">
      <c r="A289" s="15">
        <f t="shared" si="16"/>
        <v>38687</v>
      </c>
      <c r="B289" s="10">
        <v>196.8</v>
      </c>
      <c r="C289" s="10">
        <f t="shared" si="17"/>
        <v>-0.79999999999998295</v>
      </c>
      <c r="D289" s="16">
        <f t="shared" si="18"/>
        <v>-0.40485829959513314</v>
      </c>
      <c r="G289" s="15">
        <f t="shared" si="19"/>
        <v>38687</v>
      </c>
      <c r="H289" s="11">
        <v>-0.40485829959513314</v>
      </c>
    </row>
    <row r="290" spans="1:8">
      <c r="A290" s="15">
        <f t="shared" si="16"/>
        <v>38718</v>
      </c>
      <c r="B290" s="10">
        <v>198.3</v>
      </c>
      <c r="C290" s="10">
        <f t="shared" si="17"/>
        <v>1.5</v>
      </c>
      <c r="D290" s="16">
        <f t="shared" si="18"/>
        <v>0.76219512195121952</v>
      </c>
      <c r="G290" s="15">
        <f t="shared" si="19"/>
        <v>38718</v>
      </c>
      <c r="H290" s="11">
        <v>0.76219512195121952</v>
      </c>
    </row>
    <row r="291" spans="1:8">
      <c r="A291" s="15">
        <f t="shared" si="16"/>
        <v>38749</v>
      </c>
      <c r="B291" s="10">
        <v>198.7</v>
      </c>
      <c r="C291" s="10">
        <f t="shared" si="17"/>
        <v>0.39999999999997726</v>
      </c>
      <c r="D291" s="16">
        <f t="shared" si="18"/>
        <v>0.20171457387795122</v>
      </c>
      <c r="G291" s="15">
        <f t="shared" si="19"/>
        <v>38749</v>
      </c>
      <c r="H291" s="11">
        <v>0.20171457387795122</v>
      </c>
    </row>
    <row r="292" spans="1:8">
      <c r="A292" s="15">
        <f t="shared" si="16"/>
        <v>38777</v>
      </c>
      <c r="B292" s="10">
        <v>199.8</v>
      </c>
      <c r="C292" s="10">
        <f t="shared" si="17"/>
        <v>1.1000000000000227</v>
      </c>
      <c r="D292" s="16">
        <f t="shared" si="18"/>
        <v>0.55359838953196916</v>
      </c>
      <c r="G292" s="15">
        <f t="shared" si="19"/>
        <v>38777</v>
      </c>
      <c r="H292" s="11">
        <v>0.55359838953196916</v>
      </c>
    </row>
    <row r="293" spans="1:8">
      <c r="A293" s="15">
        <f t="shared" si="16"/>
        <v>38808</v>
      </c>
      <c r="B293" s="10">
        <v>201.5</v>
      </c>
      <c r="C293" s="10">
        <f t="shared" si="17"/>
        <v>1.6999999999999886</v>
      </c>
      <c r="D293" s="16">
        <f t="shared" si="18"/>
        <v>0.850850850850845</v>
      </c>
      <c r="G293" s="15">
        <f t="shared" si="19"/>
        <v>38808</v>
      </c>
      <c r="H293" s="11">
        <v>0.850850850850845</v>
      </c>
    </row>
    <row r="294" spans="1:8">
      <c r="A294" s="15">
        <f t="shared" si="16"/>
        <v>38838</v>
      </c>
      <c r="B294" s="10">
        <v>202.5</v>
      </c>
      <c r="C294" s="10">
        <f t="shared" si="17"/>
        <v>1</v>
      </c>
      <c r="D294" s="16">
        <f t="shared" si="18"/>
        <v>0.49627791563275436</v>
      </c>
      <c r="G294" s="15">
        <f t="shared" si="19"/>
        <v>38838</v>
      </c>
      <c r="H294" s="11">
        <v>0.49627791563275436</v>
      </c>
    </row>
    <row r="295" spans="1:8">
      <c r="A295" s="15">
        <f t="shared" si="16"/>
        <v>38869</v>
      </c>
      <c r="B295" s="10">
        <v>202.9</v>
      </c>
      <c r="C295" s="10">
        <f t="shared" si="17"/>
        <v>0.40000000000000568</v>
      </c>
      <c r="D295" s="16">
        <f t="shared" si="18"/>
        <v>0.19753086419753368</v>
      </c>
      <c r="G295" s="15">
        <f t="shared" si="19"/>
        <v>38869</v>
      </c>
      <c r="H295" s="11">
        <v>0.19753086419753368</v>
      </c>
    </row>
    <row r="296" spans="1:8">
      <c r="A296" s="15">
        <f t="shared" si="16"/>
        <v>38899</v>
      </c>
      <c r="B296" s="10">
        <v>203.5</v>
      </c>
      <c r="C296" s="10">
        <f t="shared" si="17"/>
        <v>0.59999999999999432</v>
      </c>
      <c r="D296" s="16">
        <f t="shared" si="18"/>
        <v>0.29571217348447226</v>
      </c>
      <c r="G296" s="15">
        <f t="shared" si="19"/>
        <v>38899</v>
      </c>
      <c r="H296" s="11">
        <v>0.29571217348447226</v>
      </c>
    </row>
    <row r="297" spans="1:8">
      <c r="A297" s="15">
        <f t="shared" si="16"/>
        <v>38930</v>
      </c>
      <c r="B297" s="10">
        <v>203.9</v>
      </c>
      <c r="C297" s="10">
        <f t="shared" si="17"/>
        <v>0.40000000000000568</v>
      </c>
      <c r="D297" s="16">
        <f t="shared" si="18"/>
        <v>0.19656019656019938</v>
      </c>
      <c r="G297" s="15">
        <f t="shared" si="19"/>
        <v>38930</v>
      </c>
      <c r="H297" s="11">
        <v>0.19656019656019938</v>
      </c>
    </row>
    <row r="298" spans="1:8">
      <c r="A298" s="15">
        <f t="shared" si="16"/>
        <v>38961</v>
      </c>
      <c r="B298" s="10">
        <v>202.9</v>
      </c>
      <c r="C298" s="10">
        <f t="shared" si="17"/>
        <v>-1</v>
      </c>
      <c r="D298" s="16">
        <f t="shared" si="18"/>
        <v>-0.49043648847474253</v>
      </c>
      <c r="G298" s="15">
        <f t="shared" si="19"/>
        <v>38961</v>
      </c>
      <c r="H298" s="11">
        <v>-0.49043648847474253</v>
      </c>
    </row>
    <row r="299" spans="1:8">
      <c r="A299" s="15">
        <f t="shared" si="16"/>
        <v>38991</v>
      </c>
      <c r="B299" s="10">
        <v>201.8</v>
      </c>
      <c r="C299" s="10">
        <f t="shared" si="17"/>
        <v>-1.0999999999999943</v>
      </c>
      <c r="D299" s="16">
        <f t="shared" si="18"/>
        <v>-0.54213898472153488</v>
      </c>
      <c r="G299" s="15">
        <f t="shared" si="19"/>
        <v>38991</v>
      </c>
      <c r="H299" s="11">
        <v>-0.54213898472153488</v>
      </c>
    </row>
    <row r="300" spans="1:8">
      <c r="A300" s="15">
        <f t="shared" si="16"/>
        <v>39022</v>
      </c>
      <c r="B300" s="10">
        <v>201.5</v>
      </c>
      <c r="C300" s="10">
        <f t="shared" si="17"/>
        <v>-0.30000000000001137</v>
      </c>
      <c r="D300" s="16">
        <f t="shared" si="18"/>
        <v>-0.1486620416253773</v>
      </c>
      <c r="G300" s="15">
        <f t="shared" si="19"/>
        <v>39022</v>
      </c>
      <c r="H300" s="11">
        <v>-0.1486620416253773</v>
      </c>
    </row>
    <row r="301" spans="1:8">
      <c r="A301" s="15">
        <f t="shared" si="16"/>
        <v>39052</v>
      </c>
      <c r="B301" s="10">
        <v>201.8</v>
      </c>
      <c r="C301" s="10">
        <f t="shared" si="17"/>
        <v>0.30000000000001137</v>
      </c>
      <c r="D301" s="16">
        <f t="shared" si="18"/>
        <v>0.14888337468983193</v>
      </c>
      <c r="G301" s="15">
        <f t="shared" si="19"/>
        <v>39052</v>
      </c>
      <c r="H301" s="11">
        <v>0.14888337468983193</v>
      </c>
    </row>
    <row r="302" spans="1:8">
      <c r="A302" s="15">
        <f t="shared" si="16"/>
        <v>39083</v>
      </c>
      <c r="B302" s="10">
        <v>202.416</v>
      </c>
      <c r="C302" s="10">
        <f t="shared" si="17"/>
        <v>0.61599999999998545</v>
      </c>
      <c r="D302" s="16">
        <f t="shared" si="18"/>
        <v>0.30525272547075588</v>
      </c>
      <c r="G302" s="15">
        <f t="shared" si="19"/>
        <v>39083</v>
      </c>
      <c r="H302" s="11">
        <v>0.30525272547075588</v>
      </c>
    </row>
    <row r="303" spans="1:8">
      <c r="A303" s="15">
        <f t="shared" si="16"/>
        <v>39114</v>
      </c>
      <c r="B303" s="10">
        <v>203.499</v>
      </c>
      <c r="C303" s="10">
        <f t="shared" si="17"/>
        <v>1.0829999999999984</v>
      </c>
      <c r="D303" s="16">
        <f t="shared" si="18"/>
        <v>0.53503675598766809</v>
      </c>
      <c r="G303" s="15">
        <f t="shared" si="19"/>
        <v>39114</v>
      </c>
      <c r="H303" s="11">
        <v>0.53503675598766809</v>
      </c>
    </row>
    <row r="304" spans="1:8">
      <c r="A304" s="15">
        <f t="shared" si="16"/>
        <v>39142</v>
      </c>
      <c r="B304" s="10">
        <v>205.352</v>
      </c>
      <c r="C304" s="10">
        <f t="shared" si="17"/>
        <v>1.8530000000000086</v>
      </c>
      <c r="D304" s="16">
        <f t="shared" si="18"/>
        <v>0.9105695851085307</v>
      </c>
      <c r="G304" s="15">
        <f t="shared" si="19"/>
        <v>39142</v>
      </c>
      <c r="H304" s="11">
        <v>0.9105695851085307</v>
      </c>
    </row>
    <row r="305" spans="1:8">
      <c r="A305" s="15">
        <f t="shared" si="16"/>
        <v>39173</v>
      </c>
      <c r="B305" s="10">
        <v>206.68600000000001</v>
      </c>
      <c r="C305" s="10">
        <f t="shared" si="17"/>
        <v>1.3340000000000032</v>
      </c>
      <c r="D305" s="16">
        <f t="shared" si="18"/>
        <v>0.64961626865090338</v>
      </c>
      <c r="G305" s="15">
        <f t="shared" si="19"/>
        <v>39173</v>
      </c>
      <c r="H305" s="11">
        <v>0.64961626865090338</v>
      </c>
    </row>
    <row r="306" spans="1:8">
      <c r="A306" s="15">
        <f t="shared" si="16"/>
        <v>39203</v>
      </c>
      <c r="B306" s="10">
        <v>207.94900000000001</v>
      </c>
      <c r="C306" s="10">
        <f t="shared" si="17"/>
        <v>1.2630000000000052</v>
      </c>
      <c r="D306" s="16">
        <f t="shared" si="18"/>
        <v>0.61107186747046494</v>
      </c>
      <c r="G306" s="15">
        <f t="shared" si="19"/>
        <v>39203</v>
      </c>
      <c r="H306" s="11">
        <v>0.61107186747046494</v>
      </c>
    </row>
    <row r="307" spans="1:8">
      <c r="A307" s="15">
        <f t="shared" si="16"/>
        <v>39234</v>
      </c>
      <c r="B307" s="10">
        <v>208.352</v>
      </c>
      <c r="C307" s="10">
        <f t="shared" si="17"/>
        <v>0.40299999999999159</v>
      </c>
      <c r="D307" s="16">
        <f t="shared" si="18"/>
        <v>0.19379751766057618</v>
      </c>
      <c r="G307" s="15">
        <f t="shared" si="19"/>
        <v>39234</v>
      </c>
      <c r="H307" s="11">
        <v>0.19379751766057618</v>
      </c>
    </row>
    <row r="308" spans="1:8">
      <c r="A308" s="15">
        <f t="shared" si="16"/>
        <v>39264</v>
      </c>
      <c r="B308" s="10">
        <v>208.29900000000001</v>
      </c>
      <c r="C308" s="10">
        <f t="shared" si="17"/>
        <v>-5.2999999999997272E-2</v>
      </c>
      <c r="D308" s="16">
        <f t="shared" si="18"/>
        <v>-2.5437720780216781E-2</v>
      </c>
      <c r="G308" s="15">
        <f t="shared" si="19"/>
        <v>39264</v>
      </c>
      <c r="H308" s="11">
        <v>-2.5437720780216781E-2</v>
      </c>
    </row>
    <row r="309" spans="1:8">
      <c r="A309" s="15">
        <f t="shared" si="16"/>
        <v>39295</v>
      </c>
      <c r="B309" s="10">
        <v>207.917</v>
      </c>
      <c r="C309" s="10">
        <f t="shared" si="17"/>
        <v>-0.382000000000005</v>
      </c>
      <c r="D309" s="16">
        <f t="shared" si="18"/>
        <v>-0.18339022270870478</v>
      </c>
      <c r="G309" s="15">
        <f t="shared" si="19"/>
        <v>39295</v>
      </c>
      <c r="H309" s="11">
        <v>-0.18339022270870478</v>
      </c>
    </row>
    <row r="310" spans="1:8">
      <c r="A310" s="15">
        <f t="shared" si="16"/>
        <v>39326</v>
      </c>
      <c r="B310" s="10">
        <v>208.49</v>
      </c>
      <c r="C310" s="10">
        <f t="shared" si="17"/>
        <v>0.5730000000000075</v>
      </c>
      <c r="D310" s="16">
        <f t="shared" si="18"/>
        <v>0.27559074053589055</v>
      </c>
      <c r="G310" s="15">
        <f t="shared" si="19"/>
        <v>39326</v>
      </c>
      <c r="H310" s="11">
        <v>0.27559074053589055</v>
      </c>
    </row>
    <row r="311" spans="1:8">
      <c r="A311" s="15">
        <f t="shared" si="16"/>
        <v>39356</v>
      </c>
      <c r="B311" s="10">
        <v>208.93600000000001</v>
      </c>
      <c r="C311" s="10">
        <f t="shared" si="17"/>
        <v>0.44599999999999795</v>
      </c>
      <c r="D311" s="16">
        <f t="shared" si="18"/>
        <v>0.21391913281212427</v>
      </c>
      <c r="G311" s="15">
        <f t="shared" si="19"/>
        <v>39356</v>
      </c>
      <c r="H311" s="11">
        <v>0.21391913281212427</v>
      </c>
    </row>
    <row r="312" spans="1:8">
      <c r="A312" s="15">
        <f t="shared" si="16"/>
        <v>39387</v>
      </c>
      <c r="B312" s="10">
        <v>210.17699999999999</v>
      </c>
      <c r="C312" s="10">
        <f t="shared" si="17"/>
        <v>1.2409999999999854</v>
      </c>
      <c r="D312" s="16">
        <f t="shared" si="18"/>
        <v>0.59396178734157135</v>
      </c>
      <c r="G312" s="15">
        <f t="shared" si="19"/>
        <v>39387</v>
      </c>
      <c r="H312" s="11">
        <v>0.59396178734157135</v>
      </c>
    </row>
    <row r="313" spans="1:8">
      <c r="A313" s="15">
        <f t="shared" si="16"/>
        <v>39417</v>
      </c>
      <c r="B313" s="10">
        <v>210.036</v>
      </c>
      <c r="C313" s="10">
        <f t="shared" si="17"/>
        <v>-0.14099999999999113</v>
      </c>
      <c r="D313" s="16">
        <f t="shared" si="18"/>
        <v>-6.708631296478261E-2</v>
      </c>
      <c r="G313" s="15">
        <f t="shared" si="19"/>
        <v>39417</v>
      </c>
      <c r="H313" s="11">
        <v>-6.708631296478261E-2</v>
      </c>
    </row>
    <row r="314" spans="1:8">
      <c r="A314" s="15">
        <f t="shared" si="16"/>
        <v>39448</v>
      </c>
      <c r="B314" s="10">
        <v>211.08</v>
      </c>
      <c r="C314" s="10">
        <f t="shared" si="17"/>
        <v>1.0440000000000111</v>
      </c>
      <c r="D314" s="16">
        <f t="shared" si="18"/>
        <v>0.49705764726047497</v>
      </c>
      <c r="G314" s="15">
        <f t="shared" si="19"/>
        <v>39448</v>
      </c>
      <c r="H314" s="11">
        <v>0.49705764726047497</v>
      </c>
    </row>
    <row r="315" spans="1:8">
      <c r="A315" s="15">
        <f t="shared" si="16"/>
        <v>39479</v>
      </c>
      <c r="B315" s="10">
        <v>211.69300000000001</v>
      </c>
      <c r="C315" s="10">
        <f t="shared" si="17"/>
        <v>0.61299999999999955</v>
      </c>
      <c r="D315" s="16">
        <f t="shared" si="18"/>
        <v>0.29041121849535695</v>
      </c>
      <c r="G315" s="15">
        <f t="shared" si="19"/>
        <v>39479</v>
      </c>
      <c r="H315" s="11">
        <v>0.29041121849535695</v>
      </c>
    </row>
    <row r="316" spans="1:8">
      <c r="A316" s="15">
        <f t="shared" si="16"/>
        <v>39508</v>
      </c>
      <c r="B316" s="10">
        <v>213.52799999999999</v>
      </c>
      <c r="C316" s="10">
        <f t="shared" si="17"/>
        <v>1.8349999999999795</v>
      </c>
      <c r="D316" s="16">
        <f t="shared" si="18"/>
        <v>0.86682129309895906</v>
      </c>
      <c r="G316" s="15">
        <f t="shared" si="19"/>
        <v>39508</v>
      </c>
      <c r="H316" s="11">
        <v>0.86682129309895906</v>
      </c>
    </row>
    <row r="317" spans="1:8">
      <c r="A317" s="15">
        <f t="shared" si="16"/>
        <v>39539</v>
      </c>
      <c r="B317" s="10">
        <v>214.82300000000001</v>
      </c>
      <c r="C317" s="10">
        <f t="shared" si="17"/>
        <v>1.2950000000000159</v>
      </c>
      <c r="D317" s="16">
        <f t="shared" si="18"/>
        <v>0.60647783897194563</v>
      </c>
      <c r="G317" s="15">
        <f t="shared" si="19"/>
        <v>39539</v>
      </c>
      <c r="H317" s="11">
        <v>0.60647783897194563</v>
      </c>
    </row>
    <row r="318" spans="1:8">
      <c r="A318" s="15">
        <f t="shared" si="16"/>
        <v>39569</v>
      </c>
      <c r="B318" s="10">
        <v>216.63200000000001</v>
      </c>
      <c r="C318" s="10">
        <f t="shared" si="17"/>
        <v>1.8089999999999975</v>
      </c>
      <c r="D318" s="16">
        <f t="shared" si="18"/>
        <v>0.84208860317563639</v>
      </c>
      <c r="G318" s="15">
        <f t="shared" si="19"/>
        <v>39569</v>
      </c>
      <c r="H318" s="11">
        <v>0.84208860317563639</v>
      </c>
    </row>
    <row r="319" spans="1:8">
      <c r="A319" s="15">
        <f t="shared" si="16"/>
        <v>39600</v>
      </c>
      <c r="B319" s="10">
        <v>218.815</v>
      </c>
      <c r="C319" s="10">
        <f t="shared" si="17"/>
        <v>2.1829999999999927</v>
      </c>
      <c r="D319" s="16">
        <f t="shared" si="18"/>
        <v>1.0076996934894165</v>
      </c>
      <c r="G319" s="15">
        <f t="shared" si="19"/>
        <v>39600</v>
      </c>
      <c r="H319" s="11">
        <v>1.0076996934894165</v>
      </c>
    </row>
    <row r="320" spans="1:8">
      <c r="A320" s="15">
        <f t="shared" si="16"/>
        <v>39630</v>
      </c>
      <c r="B320" s="10">
        <v>219.964</v>
      </c>
      <c r="C320" s="10">
        <f t="shared" si="17"/>
        <v>1.1490000000000009</v>
      </c>
      <c r="D320" s="16">
        <f t="shared" si="18"/>
        <v>0.5251011128121934</v>
      </c>
      <c r="G320" s="15">
        <f t="shared" si="19"/>
        <v>39630</v>
      </c>
      <c r="H320" s="11">
        <v>0.5251011128121934</v>
      </c>
    </row>
    <row r="321" spans="1:8">
      <c r="A321" s="15">
        <f t="shared" si="16"/>
        <v>39661</v>
      </c>
      <c r="B321" s="10">
        <v>219.08600000000001</v>
      </c>
      <c r="C321" s="10">
        <f t="shared" si="17"/>
        <v>-0.8779999999999859</v>
      </c>
      <c r="D321" s="16">
        <f t="shared" si="18"/>
        <v>-0.39915622556417679</v>
      </c>
      <c r="G321" s="15">
        <f t="shared" si="19"/>
        <v>39661</v>
      </c>
      <c r="H321" s="11">
        <v>-0.39915622556417679</v>
      </c>
    </row>
    <row r="322" spans="1:8">
      <c r="A322" s="15">
        <f t="shared" si="16"/>
        <v>39692</v>
      </c>
      <c r="B322" s="10">
        <v>218.78299999999999</v>
      </c>
      <c r="C322" s="10">
        <f t="shared" si="17"/>
        <v>-0.30300000000002569</v>
      </c>
      <c r="D322" s="16">
        <f t="shared" si="18"/>
        <v>-0.13830185406645137</v>
      </c>
      <c r="G322" s="15">
        <f t="shared" si="19"/>
        <v>39692</v>
      </c>
      <c r="H322" s="11">
        <v>-0.13830185406645137</v>
      </c>
    </row>
    <row r="323" spans="1:8">
      <c r="A323" s="15">
        <f t="shared" si="16"/>
        <v>39722</v>
      </c>
      <c r="B323" s="10">
        <v>216.57300000000001</v>
      </c>
      <c r="C323" s="10">
        <f t="shared" si="17"/>
        <v>-2.2099999999999795</v>
      </c>
      <c r="D323" s="16">
        <f t="shared" si="18"/>
        <v>-1.0101333284578691</v>
      </c>
      <c r="G323" s="15">
        <f t="shared" si="19"/>
        <v>39722</v>
      </c>
      <c r="H323" s="11">
        <v>-1.0101333284578691</v>
      </c>
    </row>
    <row r="324" spans="1:8">
      <c r="A324" s="15">
        <f t="shared" ref="A324:A387" si="20">EDATE(A323,1)</f>
        <v>39753</v>
      </c>
      <c r="B324" s="10">
        <v>212.42500000000001</v>
      </c>
      <c r="C324" s="10">
        <f t="shared" ref="C324:C387" si="21">B324-B323</f>
        <v>-4.1479999999999961</v>
      </c>
      <c r="D324" s="16">
        <f t="shared" ref="D324:D387" si="22">(B324-B323)/B323*100</f>
        <v>-1.9152895328595883</v>
      </c>
      <c r="G324" s="15">
        <f t="shared" ref="G324:G387" si="23">EDATE(G323,1)</f>
        <v>39753</v>
      </c>
      <c r="H324" s="11">
        <v>-1.9152895328595883</v>
      </c>
    </row>
    <row r="325" spans="1:8">
      <c r="A325" s="15">
        <f t="shared" si="20"/>
        <v>39783</v>
      </c>
      <c r="B325" s="10">
        <v>210.22800000000001</v>
      </c>
      <c r="C325" s="10">
        <f t="shared" si="21"/>
        <v>-2.1970000000000027</v>
      </c>
      <c r="D325" s="16">
        <f t="shared" si="22"/>
        <v>-1.0342473814287407</v>
      </c>
      <c r="G325" s="15">
        <f t="shared" si="23"/>
        <v>39783</v>
      </c>
      <c r="H325" s="11">
        <v>-1.0342473814287407</v>
      </c>
    </row>
    <row r="326" spans="1:8">
      <c r="A326" s="15">
        <f t="shared" si="20"/>
        <v>39814</v>
      </c>
      <c r="B326" s="10">
        <v>211.143</v>
      </c>
      <c r="C326" s="10">
        <f t="shared" si="21"/>
        <v>0.91499999999999204</v>
      </c>
      <c r="D326" s="16">
        <f t="shared" si="22"/>
        <v>0.43524173754209339</v>
      </c>
      <c r="G326" s="15">
        <f t="shared" si="23"/>
        <v>39814</v>
      </c>
      <c r="H326" s="11">
        <v>0.43524173754209339</v>
      </c>
    </row>
    <row r="327" spans="1:8">
      <c r="A327" s="15">
        <f t="shared" si="20"/>
        <v>39845</v>
      </c>
      <c r="B327" s="10">
        <v>212.19300000000001</v>
      </c>
      <c r="C327" s="10">
        <f t="shared" si="21"/>
        <v>1.0500000000000114</v>
      </c>
      <c r="D327" s="16">
        <f t="shared" si="22"/>
        <v>0.49729330359046303</v>
      </c>
      <c r="G327" s="15">
        <f t="shared" si="23"/>
        <v>39845</v>
      </c>
      <c r="H327" s="11">
        <v>0.49729330359046303</v>
      </c>
    </row>
    <row r="328" spans="1:8">
      <c r="A328" s="15">
        <f t="shared" si="20"/>
        <v>39873</v>
      </c>
      <c r="B328" s="10">
        <v>212.709</v>
      </c>
      <c r="C328" s="10">
        <f t="shared" si="21"/>
        <v>0.51599999999999113</v>
      </c>
      <c r="D328" s="16">
        <f t="shared" si="22"/>
        <v>0.24317484554155469</v>
      </c>
      <c r="G328" s="15">
        <f t="shared" si="23"/>
        <v>39873</v>
      </c>
      <c r="H328" s="11">
        <v>0.24317484554155469</v>
      </c>
    </row>
    <row r="329" spans="1:8">
      <c r="A329" s="15">
        <f t="shared" si="20"/>
        <v>39904</v>
      </c>
      <c r="B329" s="10">
        <v>213.24</v>
      </c>
      <c r="C329" s="10">
        <f t="shared" si="21"/>
        <v>0.53100000000000591</v>
      </c>
      <c r="D329" s="16">
        <f t="shared" si="22"/>
        <v>0.24963682777879914</v>
      </c>
      <c r="G329" s="15">
        <f t="shared" si="23"/>
        <v>39904</v>
      </c>
      <c r="H329" s="11">
        <v>0.24963682777879914</v>
      </c>
    </row>
    <row r="330" spans="1:8">
      <c r="A330" s="15">
        <f t="shared" si="20"/>
        <v>39934</v>
      </c>
      <c r="B330" s="10">
        <v>213.85599999999999</v>
      </c>
      <c r="C330" s="10">
        <f t="shared" si="21"/>
        <v>0.61599999999998545</v>
      </c>
      <c r="D330" s="16">
        <f t="shared" si="22"/>
        <v>0.28887638341773841</v>
      </c>
      <c r="G330" s="15">
        <f t="shared" si="23"/>
        <v>39934</v>
      </c>
      <c r="H330" s="11">
        <v>0.28887638341773841</v>
      </c>
    </row>
    <row r="331" spans="1:8">
      <c r="A331" s="15">
        <f t="shared" si="20"/>
        <v>39965</v>
      </c>
      <c r="B331" s="10">
        <v>215.69300000000001</v>
      </c>
      <c r="C331" s="10">
        <f t="shared" si="21"/>
        <v>1.8370000000000175</v>
      </c>
      <c r="D331" s="16">
        <f t="shared" si="22"/>
        <v>0.85898922639533959</v>
      </c>
      <c r="G331" s="15">
        <f t="shared" si="23"/>
        <v>39965</v>
      </c>
      <c r="H331" s="11">
        <v>0.85898922639533959</v>
      </c>
    </row>
    <row r="332" spans="1:8">
      <c r="A332" s="15">
        <f t="shared" si="20"/>
        <v>39995</v>
      </c>
      <c r="B332" s="10">
        <v>215.351</v>
      </c>
      <c r="C332" s="10">
        <f t="shared" si="21"/>
        <v>-0.34200000000001296</v>
      </c>
      <c r="D332" s="16">
        <f t="shared" si="22"/>
        <v>-0.15855869221533056</v>
      </c>
      <c r="G332" s="15">
        <f t="shared" si="23"/>
        <v>39995</v>
      </c>
      <c r="H332" s="11">
        <v>-0.15855869221533056</v>
      </c>
    </row>
    <row r="333" spans="1:8">
      <c r="A333" s="15">
        <f t="shared" si="20"/>
        <v>40026</v>
      </c>
      <c r="B333" s="10">
        <v>215.834</v>
      </c>
      <c r="C333" s="10">
        <f t="shared" si="21"/>
        <v>0.48300000000000409</v>
      </c>
      <c r="D333" s="16">
        <f t="shared" si="22"/>
        <v>0.22428500448105843</v>
      </c>
      <c r="G333" s="15">
        <f t="shared" si="23"/>
        <v>40026</v>
      </c>
      <c r="H333" s="11">
        <v>0.22428500448105843</v>
      </c>
    </row>
    <row r="334" spans="1:8">
      <c r="A334" s="15">
        <f t="shared" si="20"/>
        <v>40057</v>
      </c>
      <c r="B334" s="10">
        <v>215.96899999999999</v>
      </c>
      <c r="C334" s="10">
        <f t="shared" si="21"/>
        <v>0.13499999999999091</v>
      </c>
      <c r="D334" s="16">
        <f t="shared" si="22"/>
        <v>6.2548069349588523E-2</v>
      </c>
      <c r="G334" s="15">
        <f t="shared" si="23"/>
        <v>40057</v>
      </c>
      <c r="H334" s="11">
        <v>6.2548069349588523E-2</v>
      </c>
    </row>
    <row r="335" spans="1:8">
      <c r="A335" s="15">
        <f t="shared" si="20"/>
        <v>40087</v>
      </c>
      <c r="B335" s="10">
        <v>216.17699999999999</v>
      </c>
      <c r="C335" s="10">
        <f t="shared" si="21"/>
        <v>0.20799999999999841</v>
      </c>
      <c r="D335" s="16">
        <f t="shared" si="22"/>
        <v>9.6310118581832763E-2</v>
      </c>
      <c r="G335" s="15">
        <f t="shared" si="23"/>
        <v>40087</v>
      </c>
      <c r="H335" s="11">
        <v>9.6310118581832763E-2</v>
      </c>
    </row>
    <row r="336" spans="1:8">
      <c r="A336" s="15">
        <f t="shared" si="20"/>
        <v>40118</v>
      </c>
      <c r="B336" s="10">
        <v>216.33</v>
      </c>
      <c r="C336" s="10">
        <f t="shared" si="21"/>
        <v>0.15300000000002001</v>
      </c>
      <c r="D336" s="16">
        <f t="shared" si="22"/>
        <v>7.0775336876735276E-2</v>
      </c>
      <c r="G336" s="15">
        <f t="shared" si="23"/>
        <v>40118</v>
      </c>
      <c r="H336" s="11">
        <v>7.0775336876735276E-2</v>
      </c>
    </row>
    <row r="337" spans="1:8">
      <c r="A337" s="15">
        <f t="shared" si="20"/>
        <v>40148</v>
      </c>
      <c r="B337" s="10">
        <v>215.94900000000001</v>
      </c>
      <c r="C337" s="10">
        <f t="shared" si="21"/>
        <v>-0.38100000000000023</v>
      </c>
      <c r="D337" s="16">
        <f t="shared" si="22"/>
        <v>-0.17611981694633208</v>
      </c>
      <c r="G337" s="15">
        <f t="shared" si="23"/>
        <v>40148</v>
      </c>
      <c r="H337" s="11">
        <v>-0.17611981694633208</v>
      </c>
    </row>
    <row r="338" spans="1:8">
      <c r="A338" s="15">
        <f t="shared" si="20"/>
        <v>40179</v>
      </c>
      <c r="B338" s="10">
        <v>216.68700000000001</v>
      </c>
      <c r="C338" s="10">
        <f t="shared" si="21"/>
        <v>0.73799999999999955</v>
      </c>
      <c r="D338" s="16">
        <f t="shared" si="22"/>
        <v>0.34174735701485048</v>
      </c>
      <c r="G338" s="15">
        <f t="shared" si="23"/>
        <v>40179</v>
      </c>
      <c r="H338" s="11">
        <v>0.34174735701485048</v>
      </c>
    </row>
    <row r="339" spans="1:8">
      <c r="A339" s="15">
        <f t="shared" si="20"/>
        <v>40210</v>
      </c>
      <c r="B339" s="10">
        <v>216.74100000000001</v>
      </c>
      <c r="C339" s="10">
        <f t="shared" si="21"/>
        <v>5.4000000000002046E-2</v>
      </c>
      <c r="D339" s="16">
        <f t="shared" si="22"/>
        <v>2.4920738207646072E-2</v>
      </c>
      <c r="G339" s="15">
        <f t="shared" si="23"/>
        <v>40210</v>
      </c>
      <c r="H339" s="11">
        <v>2.4920738207646072E-2</v>
      </c>
    </row>
    <row r="340" spans="1:8">
      <c r="A340" s="15">
        <f t="shared" si="20"/>
        <v>40238</v>
      </c>
      <c r="B340" s="10">
        <v>217.631</v>
      </c>
      <c r="C340" s="10">
        <f t="shared" si="21"/>
        <v>0.88999999999998636</v>
      </c>
      <c r="D340" s="16">
        <f t="shared" si="22"/>
        <v>0.41062835365712358</v>
      </c>
      <c r="G340" s="15">
        <f t="shared" si="23"/>
        <v>40238</v>
      </c>
      <c r="H340" s="11">
        <v>0.41062835365712358</v>
      </c>
    </row>
    <row r="341" spans="1:8">
      <c r="A341" s="15">
        <f t="shared" si="20"/>
        <v>40269</v>
      </c>
      <c r="B341" s="10">
        <v>218.00899999999999</v>
      </c>
      <c r="C341" s="10">
        <f t="shared" si="21"/>
        <v>0.3779999999999859</v>
      </c>
      <c r="D341" s="16">
        <f t="shared" si="22"/>
        <v>0.17368849106974002</v>
      </c>
      <c r="G341" s="15">
        <f t="shared" si="23"/>
        <v>40269</v>
      </c>
      <c r="H341" s="11">
        <v>0.17368849106974002</v>
      </c>
    </row>
    <row r="342" spans="1:8">
      <c r="A342" s="15">
        <f t="shared" si="20"/>
        <v>40299</v>
      </c>
      <c r="B342" s="10">
        <v>218.178</v>
      </c>
      <c r="C342" s="10">
        <f t="shared" si="21"/>
        <v>0.16900000000001114</v>
      </c>
      <c r="D342" s="16">
        <f t="shared" si="22"/>
        <v>7.7519735423772024E-2</v>
      </c>
      <c r="G342" s="15">
        <f t="shared" si="23"/>
        <v>40299</v>
      </c>
      <c r="H342" s="11">
        <v>7.7519735423772024E-2</v>
      </c>
    </row>
    <row r="343" spans="1:8">
      <c r="A343" s="15">
        <f t="shared" si="20"/>
        <v>40330</v>
      </c>
      <c r="B343" s="10">
        <v>217.965</v>
      </c>
      <c r="C343" s="10">
        <f t="shared" si="21"/>
        <v>-0.21299999999999386</v>
      </c>
      <c r="D343" s="16">
        <f t="shared" si="22"/>
        <v>-9.7626708467395365E-2</v>
      </c>
      <c r="G343" s="15">
        <f t="shared" si="23"/>
        <v>40330</v>
      </c>
      <c r="H343" s="11">
        <v>-9.7626708467395365E-2</v>
      </c>
    </row>
    <row r="344" spans="1:8">
      <c r="A344" s="15">
        <f t="shared" si="20"/>
        <v>40360</v>
      </c>
      <c r="B344" s="10">
        <v>218.011</v>
      </c>
      <c r="C344" s="10">
        <f t="shared" si="21"/>
        <v>4.5999999999992269E-2</v>
      </c>
      <c r="D344" s="16">
        <f t="shared" si="22"/>
        <v>2.1104305737156086E-2</v>
      </c>
      <c r="G344" s="15">
        <f t="shared" si="23"/>
        <v>40360</v>
      </c>
      <c r="H344" s="11">
        <v>2.1104305737156086E-2</v>
      </c>
    </row>
    <row r="345" spans="1:8">
      <c r="A345" s="15">
        <f t="shared" si="20"/>
        <v>40391</v>
      </c>
      <c r="B345" s="10">
        <v>218.31200000000001</v>
      </c>
      <c r="C345" s="10">
        <f t="shared" si="21"/>
        <v>0.30100000000001614</v>
      </c>
      <c r="D345" s="16">
        <f t="shared" si="22"/>
        <v>0.13806642784080442</v>
      </c>
      <c r="G345" s="15">
        <f t="shared" si="23"/>
        <v>40391</v>
      </c>
      <c r="H345" s="11">
        <v>0.13806642784080442</v>
      </c>
    </row>
    <row r="346" spans="1:8">
      <c r="A346" s="15">
        <f t="shared" si="20"/>
        <v>40422</v>
      </c>
      <c r="B346" s="10">
        <v>218.43899999999999</v>
      </c>
      <c r="C346" s="10">
        <f t="shared" si="21"/>
        <v>0.12699999999998113</v>
      </c>
      <c r="D346" s="16">
        <f t="shared" si="22"/>
        <v>5.8173623071558649E-2</v>
      </c>
      <c r="G346" s="15">
        <f t="shared" si="23"/>
        <v>40422</v>
      </c>
      <c r="H346" s="11">
        <v>5.8173623071558649E-2</v>
      </c>
    </row>
    <row r="347" spans="1:8">
      <c r="A347" s="15">
        <f t="shared" si="20"/>
        <v>40452</v>
      </c>
      <c r="B347" s="10">
        <v>218.71100000000001</v>
      </c>
      <c r="C347" s="10">
        <f t="shared" si="21"/>
        <v>0.27200000000001978</v>
      </c>
      <c r="D347" s="16">
        <f t="shared" si="22"/>
        <v>0.12451988884769651</v>
      </c>
      <c r="G347" s="15">
        <f t="shared" si="23"/>
        <v>40452</v>
      </c>
      <c r="H347" s="11">
        <v>0.12451988884769651</v>
      </c>
    </row>
    <row r="348" spans="1:8">
      <c r="A348" s="15">
        <f t="shared" si="20"/>
        <v>40483</v>
      </c>
      <c r="B348" s="10">
        <v>218.803</v>
      </c>
      <c r="C348" s="10">
        <f t="shared" si="21"/>
        <v>9.1999999999984539E-2</v>
      </c>
      <c r="D348" s="16">
        <f t="shared" si="22"/>
        <v>4.2064642381949027E-2</v>
      </c>
      <c r="G348" s="15">
        <f t="shared" si="23"/>
        <v>40483</v>
      </c>
      <c r="H348" s="11">
        <v>4.2064642381949027E-2</v>
      </c>
    </row>
    <row r="349" spans="1:8">
      <c r="A349" s="15">
        <f t="shared" si="20"/>
        <v>40513</v>
      </c>
      <c r="B349" s="10">
        <v>219.179</v>
      </c>
      <c r="C349" s="10">
        <f t="shared" si="21"/>
        <v>0.37600000000000477</v>
      </c>
      <c r="D349" s="16">
        <f t="shared" si="22"/>
        <v>0.17184407892030948</v>
      </c>
      <c r="G349" s="15">
        <f t="shared" si="23"/>
        <v>40513</v>
      </c>
      <c r="H349" s="11">
        <v>0.17184407892030948</v>
      </c>
    </row>
    <row r="350" spans="1:8">
      <c r="A350" s="15">
        <f t="shared" si="20"/>
        <v>40544</v>
      </c>
      <c r="B350" s="10">
        <v>220.22300000000001</v>
      </c>
      <c r="C350" s="10">
        <f t="shared" si="21"/>
        <v>1.0440000000000111</v>
      </c>
      <c r="D350" s="16">
        <f t="shared" si="22"/>
        <v>0.47632300539741995</v>
      </c>
      <c r="G350" s="15">
        <f t="shared" si="23"/>
        <v>40544</v>
      </c>
      <c r="H350" s="11">
        <v>0.47632300539741995</v>
      </c>
    </row>
    <row r="351" spans="1:8">
      <c r="A351" s="15">
        <f t="shared" si="20"/>
        <v>40575</v>
      </c>
      <c r="B351" s="10">
        <v>221.309</v>
      </c>
      <c r="C351" s="10">
        <f t="shared" si="21"/>
        <v>1.0859999999999843</v>
      </c>
      <c r="D351" s="16">
        <f t="shared" si="22"/>
        <v>0.49313650254514024</v>
      </c>
      <c r="G351" s="15">
        <f t="shared" si="23"/>
        <v>40575</v>
      </c>
      <c r="H351" s="11">
        <v>0.49313650254514024</v>
      </c>
    </row>
    <row r="352" spans="1:8">
      <c r="A352" s="15">
        <f t="shared" si="20"/>
        <v>40603</v>
      </c>
      <c r="B352" s="10">
        <v>223.46700000000001</v>
      </c>
      <c r="C352" s="10">
        <f t="shared" si="21"/>
        <v>2.1580000000000155</v>
      </c>
      <c r="D352" s="16">
        <f t="shared" si="22"/>
        <v>0.97510720305094489</v>
      </c>
      <c r="G352" s="15">
        <f t="shared" si="23"/>
        <v>40603</v>
      </c>
      <c r="H352" s="11">
        <v>0.97510720305094489</v>
      </c>
    </row>
    <row r="353" spans="1:8">
      <c r="A353" s="15">
        <f t="shared" si="20"/>
        <v>40634</v>
      </c>
      <c r="B353" s="10">
        <v>224.90600000000001</v>
      </c>
      <c r="C353" s="10">
        <f t="shared" si="21"/>
        <v>1.438999999999993</v>
      </c>
      <c r="D353" s="16">
        <f t="shared" si="22"/>
        <v>0.64394295354571052</v>
      </c>
      <c r="G353" s="15">
        <f t="shared" si="23"/>
        <v>40634</v>
      </c>
      <c r="H353" s="11">
        <v>0.64394295354571052</v>
      </c>
    </row>
    <row r="354" spans="1:8">
      <c r="A354" s="15">
        <f t="shared" si="20"/>
        <v>40664</v>
      </c>
      <c r="B354" s="10">
        <v>225.964</v>
      </c>
      <c r="C354" s="10">
        <f t="shared" si="21"/>
        <v>1.0579999999999927</v>
      </c>
      <c r="D354" s="16">
        <f t="shared" si="22"/>
        <v>0.4704187527233567</v>
      </c>
      <c r="G354" s="15">
        <f t="shared" si="23"/>
        <v>40664</v>
      </c>
      <c r="H354" s="11">
        <v>0.4704187527233567</v>
      </c>
    </row>
    <row r="355" spans="1:8">
      <c r="A355" s="15">
        <f t="shared" si="20"/>
        <v>40695</v>
      </c>
      <c r="B355" s="10">
        <v>225.72200000000001</v>
      </c>
      <c r="C355" s="10">
        <f t="shared" si="21"/>
        <v>-0.24199999999999022</v>
      </c>
      <c r="D355" s="16">
        <f t="shared" si="22"/>
        <v>-0.10709670566992539</v>
      </c>
      <c r="G355" s="15">
        <f t="shared" si="23"/>
        <v>40695</v>
      </c>
      <c r="H355" s="11">
        <v>-0.10709670566992539</v>
      </c>
    </row>
    <row r="356" spans="1:8">
      <c r="A356" s="15">
        <f t="shared" si="20"/>
        <v>40725</v>
      </c>
      <c r="B356" s="10">
        <v>225.922</v>
      </c>
      <c r="C356" s="10">
        <f t="shared" si="21"/>
        <v>0.19999999999998863</v>
      </c>
      <c r="D356" s="16">
        <f t="shared" si="22"/>
        <v>8.8604566679361604E-2</v>
      </c>
      <c r="G356" s="15">
        <f t="shared" si="23"/>
        <v>40725</v>
      </c>
      <c r="H356" s="11">
        <v>8.8604566679361604E-2</v>
      </c>
    </row>
    <row r="357" spans="1:8">
      <c r="A357" s="15">
        <f t="shared" si="20"/>
        <v>40756</v>
      </c>
      <c r="B357" s="10">
        <v>226.54499999999999</v>
      </c>
      <c r="C357" s="10">
        <f t="shared" si="21"/>
        <v>0.62299999999999045</v>
      </c>
      <c r="D357" s="16">
        <f t="shared" si="22"/>
        <v>0.27575889023644906</v>
      </c>
      <c r="G357" s="15">
        <f t="shared" si="23"/>
        <v>40756</v>
      </c>
      <c r="H357" s="11">
        <v>0.27575889023644906</v>
      </c>
    </row>
    <row r="358" spans="1:8">
      <c r="A358" s="15">
        <f t="shared" si="20"/>
        <v>40787</v>
      </c>
      <c r="B358" s="10">
        <v>226.88900000000001</v>
      </c>
      <c r="C358" s="10">
        <f t="shared" si="21"/>
        <v>0.34400000000002251</v>
      </c>
      <c r="D358" s="16">
        <f t="shared" si="22"/>
        <v>0.1518462115694553</v>
      </c>
      <c r="G358" s="15">
        <f t="shared" si="23"/>
        <v>40787</v>
      </c>
      <c r="H358" s="11">
        <v>0.1518462115694553</v>
      </c>
    </row>
    <row r="359" spans="1:8">
      <c r="A359" s="15">
        <f t="shared" si="20"/>
        <v>40817</v>
      </c>
      <c r="B359" s="10">
        <v>226.42099999999999</v>
      </c>
      <c r="C359" s="10">
        <f t="shared" si="21"/>
        <v>-0.46800000000001774</v>
      </c>
      <c r="D359" s="16">
        <f t="shared" si="22"/>
        <v>-0.20626826333582401</v>
      </c>
      <c r="G359" s="15">
        <f t="shared" si="23"/>
        <v>40817</v>
      </c>
      <c r="H359" s="11">
        <v>-0.20626826333582401</v>
      </c>
    </row>
    <row r="360" spans="1:8">
      <c r="A360" s="15">
        <f t="shared" si="20"/>
        <v>40848</v>
      </c>
      <c r="B360" s="10">
        <v>226.23</v>
      </c>
      <c r="C360" s="10">
        <f t="shared" si="21"/>
        <v>-0.1910000000000025</v>
      </c>
      <c r="D360" s="16">
        <f t="shared" si="22"/>
        <v>-8.4356133044197534E-2</v>
      </c>
      <c r="G360" s="15">
        <f t="shared" si="23"/>
        <v>40848</v>
      </c>
      <c r="H360" s="11">
        <v>-8.4356133044197534E-2</v>
      </c>
    </row>
    <row r="361" spans="1:8">
      <c r="A361" s="15">
        <f t="shared" si="20"/>
        <v>40878</v>
      </c>
      <c r="B361" s="10">
        <v>225.672</v>
      </c>
      <c r="C361" s="10">
        <f t="shared" si="21"/>
        <v>-0.55799999999999272</v>
      </c>
      <c r="D361" s="16">
        <f t="shared" si="22"/>
        <v>-0.24665163771382786</v>
      </c>
      <c r="G361" s="15">
        <f t="shared" si="23"/>
        <v>40878</v>
      </c>
      <c r="H361" s="11">
        <v>-0.24665163771382786</v>
      </c>
    </row>
    <row r="362" spans="1:8">
      <c r="A362" s="15">
        <f t="shared" si="20"/>
        <v>40909</v>
      </c>
      <c r="B362" s="10">
        <v>226.66499999999999</v>
      </c>
      <c r="C362" s="10">
        <f t="shared" si="21"/>
        <v>0.992999999999995</v>
      </c>
      <c r="D362" s="16">
        <f t="shared" si="22"/>
        <v>0.44001914282675519</v>
      </c>
      <c r="G362" s="15">
        <f t="shared" si="23"/>
        <v>40909</v>
      </c>
      <c r="H362" s="11">
        <v>0.44001914282675519</v>
      </c>
    </row>
    <row r="363" spans="1:8">
      <c r="A363" s="15">
        <f t="shared" si="20"/>
        <v>40940</v>
      </c>
      <c r="B363" s="10">
        <v>227.66300000000001</v>
      </c>
      <c r="C363" s="10">
        <f t="shared" si="21"/>
        <v>0.99800000000001887</v>
      </c>
      <c r="D363" s="16">
        <f t="shared" si="22"/>
        <v>0.44029735512761958</v>
      </c>
      <c r="G363" s="15">
        <f t="shared" si="23"/>
        <v>40940</v>
      </c>
      <c r="H363" s="11">
        <v>0.44029735512761958</v>
      </c>
    </row>
    <row r="364" spans="1:8">
      <c r="A364" s="15">
        <f t="shared" si="20"/>
        <v>40969</v>
      </c>
      <c r="B364" s="10">
        <v>229.392</v>
      </c>
      <c r="C364" s="10">
        <f t="shared" si="21"/>
        <v>1.728999999999985</v>
      </c>
      <c r="D364" s="16">
        <f t="shared" si="22"/>
        <v>0.75945586239309193</v>
      </c>
      <c r="G364" s="15">
        <f t="shared" si="23"/>
        <v>40969</v>
      </c>
      <c r="H364" s="11">
        <v>0.75945586239309193</v>
      </c>
    </row>
    <row r="365" spans="1:8">
      <c r="A365" s="15">
        <f t="shared" si="20"/>
        <v>41000</v>
      </c>
      <c r="B365" s="10">
        <v>230.08500000000001</v>
      </c>
      <c r="C365" s="10">
        <f t="shared" si="21"/>
        <v>0.69300000000001205</v>
      </c>
      <c r="D365" s="16">
        <f t="shared" si="22"/>
        <v>0.30210295040804042</v>
      </c>
      <c r="G365" s="15">
        <f t="shared" si="23"/>
        <v>41000</v>
      </c>
      <c r="H365" s="11">
        <v>0.30210295040804042</v>
      </c>
    </row>
    <row r="366" spans="1:8">
      <c r="A366" s="15">
        <f t="shared" si="20"/>
        <v>41030</v>
      </c>
      <c r="B366" s="10">
        <v>229.815</v>
      </c>
      <c r="C366" s="10">
        <f t="shared" si="21"/>
        <v>-0.27000000000001023</v>
      </c>
      <c r="D366" s="16">
        <f t="shared" si="22"/>
        <v>-0.11734793663211865</v>
      </c>
      <c r="G366" s="15">
        <f t="shared" si="23"/>
        <v>41030</v>
      </c>
      <c r="H366" s="11">
        <v>-0.11734793663211865</v>
      </c>
    </row>
    <row r="367" spans="1:8">
      <c r="A367" s="15">
        <f t="shared" si="20"/>
        <v>41061</v>
      </c>
      <c r="B367" s="10">
        <v>229.47800000000001</v>
      </c>
      <c r="C367" s="10">
        <f t="shared" si="21"/>
        <v>-0.33699999999998909</v>
      </c>
      <c r="D367" s="16">
        <f t="shared" si="22"/>
        <v>-0.14663968844504888</v>
      </c>
      <c r="G367" s="15">
        <f t="shared" si="23"/>
        <v>41061</v>
      </c>
      <c r="H367" s="11">
        <v>-0.14663968844504888</v>
      </c>
    </row>
    <row r="368" spans="1:8">
      <c r="A368" s="15">
        <f t="shared" si="20"/>
        <v>41091</v>
      </c>
      <c r="B368" s="10">
        <v>229.10400000000001</v>
      </c>
      <c r="C368" s="10">
        <f t="shared" si="21"/>
        <v>-0.37399999999999523</v>
      </c>
      <c r="D368" s="16">
        <f t="shared" si="22"/>
        <v>-0.16297858618255137</v>
      </c>
      <c r="G368" s="15">
        <f t="shared" si="23"/>
        <v>41091</v>
      </c>
      <c r="H368" s="11">
        <v>-0.16297858618255137</v>
      </c>
    </row>
    <row r="369" spans="1:8">
      <c r="A369" s="15">
        <f t="shared" si="20"/>
        <v>41122</v>
      </c>
      <c r="B369" s="10">
        <v>230.37899999999999</v>
      </c>
      <c r="C369" s="10">
        <f t="shared" si="21"/>
        <v>1.2749999999999773</v>
      </c>
      <c r="D369" s="16">
        <f t="shared" si="22"/>
        <v>0.5565158181437152</v>
      </c>
      <c r="G369" s="15">
        <f t="shared" si="23"/>
        <v>41122</v>
      </c>
      <c r="H369" s="11">
        <v>0.5565158181437152</v>
      </c>
    </row>
    <row r="370" spans="1:8">
      <c r="A370" s="15">
        <f t="shared" si="20"/>
        <v>41153</v>
      </c>
      <c r="B370" s="10">
        <v>231.40700000000001</v>
      </c>
      <c r="C370" s="10">
        <f t="shared" si="21"/>
        <v>1.02800000000002</v>
      </c>
      <c r="D370" s="16">
        <f t="shared" si="22"/>
        <v>0.44622122676112841</v>
      </c>
      <c r="G370" s="15">
        <f t="shared" si="23"/>
        <v>41153</v>
      </c>
      <c r="H370" s="11">
        <v>0.44622122676112841</v>
      </c>
    </row>
    <row r="371" spans="1:8">
      <c r="A371" s="15">
        <f t="shared" si="20"/>
        <v>41183</v>
      </c>
      <c r="B371" s="10">
        <v>231.31700000000001</v>
      </c>
      <c r="C371" s="10">
        <f t="shared" si="21"/>
        <v>-9.0000000000003411E-2</v>
      </c>
      <c r="D371" s="16">
        <f t="shared" si="22"/>
        <v>-3.8892514055323908E-2</v>
      </c>
      <c r="G371" s="15">
        <f t="shared" si="23"/>
        <v>41183</v>
      </c>
      <c r="H371" s="11">
        <v>-3.8892514055323908E-2</v>
      </c>
    </row>
    <row r="372" spans="1:8">
      <c r="A372" s="15">
        <f t="shared" si="20"/>
        <v>41214</v>
      </c>
      <c r="B372" s="10">
        <v>230.221</v>
      </c>
      <c r="C372" s="10">
        <f t="shared" si="21"/>
        <v>-1.0960000000000036</v>
      </c>
      <c r="D372" s="16">
        <f t="shared" si="22"/>
        <v>-0.47380866948819306</v>
      </c>
      <c r="G372" s="15">
        <f t="shared" si="23"/>
        <v>41214</v>
      </c>
      <c r="H372" s="11">
        <v>-0.47380866948819306</v>
      </c>
    </row>
    <row r="373" spans="1:8">
      <c r="A373" s="15">
        <f t="shared" si="20"/>
        <v>41244</v>
      </c>
      <c r="B373" s="10">
        <v>229.601</v>
      </c>
      <c r="C373" s="10">
        <f t="shared" si="21"/>
        <v>-0.62000000000000455</v>
      </c>
      <c r="D373" s="16">
        <f t="shared" si="22"/>
        <v>-0.26930644902072554</v>
      </c>
      <c r="G373" s="15">
        <f t="shared" si="23"/>
        <v>41244</v>
      </c>
      <c r="H373" s="11">
        <v>-0.26930644902072554</v>
      </c>
    </row>
    <row r="374" spans="1:8">
      <c r="A374" s="15">
        <f t="shared" si="20"/>
        <v>41275</v>
      </c>
      <c r="B374" s="10">
        <v>230.28</v>
      </c>
      <c r="C374" s="10">
        <f t="shared" si="21"/>
        <v>0.67900000000000205</v>
      </c>
      <c r="D374" s="16">
        <f t="shared" si="22"/>
        <v>0.2957304192925998</v>
      </c>
      <c r="G374" s="15">
        <f t="shared" si="23"/>
        <v>41275</v>
      </c>
      <c r="H374" s="11">
        <v>0.2957304192925998</v>
      </c>
    </row>
    <row r="375" spans="1:8">
      <c r="A375" s="15">
        <f t="shared" si="20"/>
        <v>41306</v>
      </c>
      <c r="B375" s="10">
        <v>232.166</v>
      </c>
      <c r="C375" s="10">
        <f t="shared" si="21"/>
        <v>1.8859999999999957</v>
      </c>
      <c r="D375" s="16">
        <f t="shared" si="22"/>
        <v>0.81900295292686975</v>
      </c>
      <c r="G375" s="15">
        <f t="shared" si="23"/>
        <v>41306</v>
      </c>
      <c r="H375" s="11">
        <v>0.81900295292686975</v>
      </c>
    </row>
    <row r="376" spans="1:8">
      <c r="A376" s="15">
        <f t="shared" si="20"/>
        <v>41334</v>
      </c>
      <c r="B376" s="10">
        <v>232.773</v>
      </c>
      <c r="C376" s="10">
        <f t="shared" si="21"/>
        <v>0.60699999999999932</v>
      </c>
      <c r="D376" s="16">
        <f t="shared" si="22"/>
        <v>0.26145085843749699</v>
      </c>
      <c r="G376" s="15">
        <f t="shared" si="23"/>
        <v>41334</v>
      </c>
      <c r="H376" s="11">
        <v>0.26145085843749699</v>
      </c>
    </row>
    <row r="377" spans="1:8">
      <c r="A377" s="15">
        <f t="shared" si="20"/>
        <v>41365</v>
      </c>
      <c r="B377" s="10">
        <v>232.53100000000001</v>
      </c>
      <c r="C377" s="10">
        <f t="shared" si="21"/>
        <v>-0.24199999999999022</v>
      </c>
      <c r="D377" s="16">
        <f t="shared" si="22"/>
        <v>-0.10396394770870773</v>
      </c>
      <c r="G377" s="15">
        <f t="shared" si="23"/>
        <v>41365</v>
      </c>
      <c r="H377" s="11">
        <v>-0.10396394770870773</v>
      </c>
    </row>
    <row r="378" spans="1:8">
      <c r="A378" s="15">
        <f t="shared" si="20"/>
        <v>41395</v>
      </c>
      <c r="B378" s="10">
        <v>232.94499999999999</v>
      </c>
      <c r="C378" s="10">
        <f t="shared" si="21"/>
        <v>0.41399999999998727</v>
      </c>
      <c r="D378" s="16">
        <f t="shared" si="22"/>
        <v>0.17804077735871229</v>
      </c>
      <c r="G378" s="15">
        <f t="shared" si="23"/>
        <v>41395</v>
      </c>
      <c r="H378" s="11">
        <v>0.17804077735871229</v>
      </c>
    </row>
    <row r="379" spans="1:8">
      <c r="A379" s="15">
        <f t="shared" si="20"/>
        <v>41426</v>
      </c>
      <c r="B379" s="10">
        <v>233.50399999999999</v>
      </c>
      <c r="C379" s="10">
        <f t="shared" si="21"/>
        <v>0.5589999999999975</v>
      </c>
      <c r="D379" s="16">
        <f t="shared" si="22"/>
        <v>0.23997080855995942</v>
      </c>
      <c r="G379" s="15">
        <f t="shared" si="23"/>
        <v>41426</v>
      </c>
      <c r="H379" s="11">
        <v>0.23997080855995942</v>
      </c>
    </row>
    <row r="380" spans="1:8">
      <c r="A380" s="15">
        <f t="shared" si="20"/>
        <v>41456</v>
      </c>
      <c r="B380" s="10">
        <v>233.596</v>
      </c>
      <c r="C380" s="10">
        <f t="shared" si="21"/>
        <v>9.200000000001296E-2</v>
      </c>
      <c r="D380" s="16">
        <f t="shared" si="22"/>
        <v>3.9399753323289093E-2</v>
      </c>
      <c r="G380" s="15">
        <f t="shared" si="23"/>
        <v>41456</v>
      </c>
      <c r="H380" s="11">
        <v>3.9399753323289093E-2</v>
      </c>
    </row>
    <row r="381" spans="1:8">
      <c r="A381" s="15">
        <f t="shared" si="20"/>
        <v>41487</v>
      </c>
      <c r="B381" s="10">
        <v>233.87700000000001</v>
      </c>
      <c r="C381" s="10">
        <f t="shared" si="21"/>
        <v>0.28100000000000591</v>
      </c>
      <c r="D381" s="16">
        <f t="shared" si="22"/>
        <v>0.12029315570472349</v>
      </c>
      <c r="G381" s="15">
        <f t="shared" si="23"/>
        <v>41487</v>
      </c>
      <c r="H381" s="11">
        <v>0.12029315570472349</v>
      </c>
    </row>
    <row r="382" spans="1:8">
      <c r="A382" s="15">
        <f t="shared" si="20"/>
        <v>41518</v>
      </c>
      <c r="B382" s="10">
        <v>234.149</v>
      </c>
      <c r="C382" s="10">
        <f t="shared" si="21"/>
        <v>0.27199999999999136</v>
      </c>
      <c r="D382" s="16">
        <f t="shared" si="22"/>
        <v>0.11630044852635846</v>
      </c>
      <c r="G382" s="15">
        <f t="shared" si="23"/>
        <v>41518</v>
      </c>
      <c r="H382" s="11">
        <v>0.11630044852635846</v>
      </c>
    </row>
    <row r="383" spans="1:8">
      <c r="A383" s="15">
        <f t="shared" si="20"/>
        <v>41548</v>
      </c>
      <c r="B383" s="10">
        <v>233.54599999999999</v>
      </c>
      <c r="C383" s="10">
        <f t="shared" si="21"/>
        <v>-0.60300000000000864</v>
      </c>
      <c r="D383" s="16">
        <f t="shared" si="22"/>
        <v>-0.2575283259804691</v>
      </c>
      <c r="G383" s="15">
        <f t="shared" si="23"/>
        <v>41548</v>
      </c>
      <c r="H383" s="11">
        <v>-0.2575283259804691</v>
      </c>
    </row>
    <row r="384" spans="1:8">
      <c r="A384" s="15">
        <f t="shared" si="20"/>
        <v>41579</v>
      </c>
      <c r="B384" s="10">
        <v>233.06899999999999</v>
      </c>
      <c r="C384" s="10">
        <f t="shared" si="21"/>
        <v>-0.47700000000000387</v>
      </c>
      <c r="D384" s="16">
        <f t="shared" si="22"/>
        <v>-0.20424241905235108</v>
      </c>
      <c r="G384" s="15">
        <f t="shared" si="23"/>
        <v>41579</v>
      </c>
      <c r="H384" s="11">
        <v>-0.20424241905235108</v>
      </c>
    </row>
    <row r="385" spans="1:8">
      <c r="A385" s="15">
        <f t="shared" si="20"/>
        <v>41609</v>
      </c>
      <c r="B385" s="10">
        <v>233.04900000000001</v>
      </c>
      <c r="C385" s="10">
        <f t="shared" si="21"/>
        <v>-1.999999999998181E-2</v>
      </c>
      <c r="D385" s="16">
        <f t="shared" si="22"/>
        <v>-8.5811497882523242E-3</v>
      </c>
      <c r="G385" s="15">
        <f t="shared" si="23"/>
        <v>41609</v>
      </c>
      <c r="H385" s="11">
        <v>-8.5811497882523242E-3</v>
      </c>
    </row>
    <row r="386" spans="1:8">
      <c r="A386" s="15">
        <f t="shared" si="20"/>
        <v>41640</v>
      </c>
      <c r="B386" s="10">
        <v>233.916</v>
      </c>
      <c r="C386" s="10">
        <f t="shared" si="21"/>
        <v>0.86699999999999022</v>
      </c>
      <c r="D386" s="16">
        <f t="shared" si="22"/>
        <v>0.37202476732360584</v>
      </c>
      <c r="G386" s="15">
        <f t="shared" si="23"/>
        <v>41640</v>
      </c>
      <c r="H386" s="11">
        <v>0.37202476732360584</v>
      </c>
    </row>
    <row r="387" spans="1:8">
      <c r="A387" s="15">
        <f t="shared" si="20"/>
        <v>41671</v>
      </c>
      <c r="B387" s="10">
        <v>234.78100000000001</v>
      </c>
      <c r="C387" s="10">
        <f t="shared" si="21"/>
        <v>0.86500000000000909</v>
      </c>
      <c r="D387" s="16">
        <f t="shared" si="22"/>
        <v>0.36979086509687625</v>
      </c>
      <c r="G387" s="15">
        <f t="shared" si="23"/>
        <v>41671</v>
      </c>
      <c r="H387" s="11">
        <v>0.36979086509687625</v>
      </c>
    </row>
    <row r="388" spans="1:8">
      <c r="A388" s="15">
        <f t="shared" ref="A388:A451" si="24">EDATE(A387,1)</f>
        <v>41699</v>
      </c>
      <c r="B388" s="10">
        <v>236.29300000000001</v>
      </c>
      <c r="C388" s="10">
        <f t="shared" ref="C388:C451" si="25">B388-B387</f>
        <v>1.5120000000000005</v>
      </c>
      <c r="D388" s="16">
        <f t="shared" ref="D388:D451" si="26">(B388-B387)/B387*100</f>
        <v>0.64400441262282737</v>
      </c>
      <c r="G388" s="15">
        <f t="shared" ref="G388:G451" si="27">EDATE(G387,1)</f>
        <v>41699</v>
      </c>
      <c r="H388" s="11">
        <v>0.64400441262282737</v>
      </c>
    </row>
    <row r="389" spans="1:8">
      <c r="A389" s="15">
        <f t="shared" si="24"/>
        <v>41730</v>
      </c>
      <c r="B389" s="10">
        <v>237.072</v>
      </c>
      <c r="C389" s="10">
        <f t="shared" si="25"/>
        <v>0.77899999999999636</v>
      </c>
      <c r="D389" s="16">
        <f t="shared" si="26"/>
        <v>0.32967544531577164</v>
      </c>
      <c r="G389" s="15">
        <f t="shared" si="27"/>
        <v>41730</v>
      </c>
      <c r="H389" s="11">
        <v>0.32967544531577164</v>
      </c>
    </row>
    <row r="390" spans="1:8">
      <c r="A390" s="15">
        <f t="shared" si="24"/>
        <v>41760</v>
      </c>
      <c r="B390" s="10">
        <v>237.9</v>
      </c>
      <c r="C390" s="10">
        <f t="shared" si="25"/>
        <v>0.82800000000000296</v>
      </c>
      <c r="D390" s="16">
        <f t="shared" si="26"/>
        <v>0.3492609840048605</v>
      </c>
      <c r="G390" s="15">
        <f t="shared" si="27"/>
        <v>41760</v>
      </c>
      <c r="H390" s="11">
        <v>0.3492609840048605</v>
      </c>
    </row>
    <row r="391" spans="1:8">
      <c r="A391" s="15">
        <f t="shared" si="24"/>
        <v>41791</v>
      </c>
      <c r="B391" s="10">
        <v>238.34299999999999</v>
      </c>
      <c r="C391" s="10">
        <f t="shared" si="25"/>
        <v>0.44299999999998363</v>
      </c>
      <c r="D391" s="16">
        <f t="shared" si="26"/>
        <v>0.18621269440940882</v>
      </c>
      <c r="G391" s="15">
        <f t="shared" si="27"/>
        <v>41791</v>
      </c>
      <c r="H391" s="11">
        <v>0.18621269440940882</v>
      </c>
    </row>
    <row r="392" spans="1:8">
      <c r="A392" s="15">
        <f t="shared" si="24"/>
        <v>41821</v>
      </c>
      <c r="B392" s="10">
        <v>238.25</v>
      </c>
      <c r="C392" s="10">
        <f t="shared" si="25"/>
        <v>-9.2999999999989313E-2</v>
      </c>
      <c r="D392" s="16">
        <f t="shared" si="26"/>
        <v>-3.9019396416084935E-2</v>
      </c>
      <c r="G392" s="15">
        <f t="shared" si="27"/>
        <v>41821</v>
      </c>
      <c r="H392" s="11">
        <v>-3.9019396416084935E-2</v>
      </c>
    </row>
    <row r="393" spans="1:8">
      <c r="A393" s="15">
        <f t="shared" si="24"/>
        <v>41852</v>
      </c>
      <c r="B393" s="10">
        <v>237.852</v>
      </c>
      <c r="C393" s="10">
        <f t="shared" si="25"/>
        <v>-0.39799999999999613</v>
      </c>
      <c r="D393" s="16">
        <f t="shared" si="26"/>
        <v>-0.16705141657922187</v>
      </c>
      <c r="G393" s="15">
        <f t="shared" si="27"/>
        <v>41852</v>
      </c>
      <c r="H393" s="11">
        <v>-0.16705141657922187</v>
      </c>
    </row>
    <row r="394" spans="1:8">
      <c r="A394" s="15">
        <f t="shared" si="24"/>
        <v>41883</v>
      </c>
      <c r="B394" s="10">
        <v>238.03100000000001</v>
      </c>
      <c r="C394" s="10">
        <f t="shared" si="25"/>
        <v>0.17900000000000205</v>
      </c>
      <c r="D394" s="16">
        <f t="shared" si="26"/>
        <v>7.5256882431092464E-2</v>
      </c>
      <c r="G394" s="15">
        <f t="shared" si="27"/>
        <v>41883</v>
      </c>
      <c r="H394" s="11">
        <v>7.5256882431092464E-2</v>
      </c>
    </row>
    <row r="395" spans="1:8">
      <c r="A395" s="15">
        <f t="shared" si="24"/>
        <v>41913</v>
      </c>
      <c r="B395" s="10">
        <v>237.43299999999999</v>
      </c>
      <c r="C395" s="10">
        <f t="shared" si="25"/>
        <v>-0.59800000000001319</v>
      </c>
      <c r="D395" s="16">
        <f t="shared" si="26"/>
        <v>-0.25122778125538825</v>
      </c>
      <c r="G395" s="15">
        <f t="shared" si="27"/>
        <v>41913</v>
      </c>
      <c r="H395" s="11">
        <v>-0.25122778125538825</v>
      </c>
    </row>
    <row r="396" spans="1:8">
      <c r="A396" s="15">
        <f t="shared" si="24"/>
        <v>41944</v>
      </c>
      <c r="B396" s="10">
        <v>236.15100000000001</v>
      </c>
      <c r="C396" s="10">
        <f t="shared" si="25"/>
        <v>-1.2819999999999823</v>
      </c>
      <c r="D396" s="16">
        <f t="shared" si="26"/>
        <v>-0.53994179410611931</v>
      </c>
      <c r="G396" s="15">
        <f t="shared" si="27"/>
        <v>41944</v>
      </c>
      <c r="H396" s="11">
        <v>-0.53994179410611931</v>
      </c>
    </row>
    <row r="397" spans="1:8">
      <c r="A397" s="15">
        <f t="shared" si="24"/>
        <v>41974</v>
      </c>
      <c r="B397" s="10">
        <v>234.81200000000001</v>
      </c>
      <c r="C397" s="10">
        <f t="shared" si="25"/>
        <v>-1.3389999999999986</v>
      </c>
      <c r="D397" s="16">
        <f t="shared" si="26"/>
        <v>-0.56701009100109612</v>
      </c>
      <c r="G397" s="15">
        <f t="shared" si="27"/>
        <v>41974</v>
      </c>
      <c r="H397" s="11">
        <v>-0.56701009100109612</v>
      </c>
    </row>
    <row r="398" spans="1:8">
      <c r="A398" s="15">
        <f t="shared" si="24"/>
        <v>42005</v>
      </c>
      <c r="B398" s="10">
        <v>233.70699999999999</v>
      </c>
      <c r="C398" s="10">
        <f t="shared" si="25"/>
        <v>-1.1050000000000182</v>
      </c>
      <c r="D398" s="16">
        <f t="shared" si="26"/>
        <v>-0.47058923734733238</v>
      </c>
      <c r="G398" s="15">
        <f t="shared" si="27"/>
        <v>42005</v>
      </c>
      <c r="H398" s="11">
        <v>-0.47058923734733238</v>
      </c>
    </row>
    <row r="399" spans="1:8">
      <c r="A399" s="15">
        <f t="shared" si="24"/>
        <v>42036</v>
      </c>
      <c r="B399" s="10">
        <v>234.72200000000001</v>
      </c>
      <c r="C399" s="10">
        <f t="shared" si="25"/>
        <v>1.0150000000000148</v>
      </c>
      <c r="D399" s="16">
        <f t="shared" si="26"/>
        <v>0.43430449237721369</v>
      </c>
      <c r="G399" s="15">
        <f t="shared" si="27"/>
        <v>42036</v>
      </c>
      <c r="H399" s="11">
        <v>0.43430449237721369</v>
      </c>
    </row>
    <row r="400" spans="1:8">
      <c r="A400" s="15">
        <f t="shared" si="24"/>
        <v>42064</v>
      </c>
      <c r="B400" s="10">
        <v>236.119</v>
      </c>
      <c r="C400" s="10">
        <f t="shared" si="25"/>
        <v>1.3969999999999914</v>
      </c>
      <c r="D400" s="16">
        <f t="shared" si="26"/>
        <v>0.5951721611097347</v>
      </c>
      <c r="G400" s="15">
        <f t="shared" si="27"/>
        <v>42064</v>
      </c>
      <c r="H400" s="11">
        <v>0.5951721611097347</v>
      </c>
    </row>
    <row r="401" spans="1:8">
      <c r="A401" s="15">
        <f t="shared" si="24"/>
        <v>42095</v>
      </c>
      <c r="B401" s="10">
        <v>236.59899999999999</v>
      </c>
      <c r="C401" s="10">
        <f t="shared" si="25"/>
        <v>0.47999999999998977</v>
      </c>
      <c r="D401" s="16">
        <f t="shared" si="26"/>
        <v>0.20328732545876857</v>
      </c>
      <c r="G401" s="15">
        <f t="shared" si="27"/>
        <v>42095</v>
      </c>
      <c r="H401" s="11">
        <v>0.20328732545876857</v>
      </c>
    </row>
    <row r="402" spans="1:8">
      <c r="A402" s="15">
        <f t="shared" si="24"/>
        <v>42125</v>
      </c>
      <c r="B402" s="10">
        <v>237.80500000000001</v>
      </c>
      <c r="C402" s="10">
        <f t="shared" si="25"/>
        <v>1.2060000000000173</v>
      </c>
      <c r="D402" s="16">
        <f t="shared" si="26"/>
        <v>0.50972320254946868</v>
      </c>
      <c r="G402" s="15">
        <f t="shared" si="27"/>
        <v>42125</v>
      </c>
      <c r="H402" s="11">
        <v>0.50972320254946868</v>
      </c>
    </row>
    <row r="403" spans="1:8">
      <c r="A403" s="15">
        <f t="shared" si="24"/>
        <v>42156</v>
      </c>
      <c r="B403" s="10">
        <v>238.63800000000001</v>
      </c>
      <c r="C403" s="10">
        <f t="shared" si="25"/>
        <v>0.83299999999999841</v>
      </c>
      <c r="D403" s="16">
        <f t="shared" si="26"/>
        <v>0.35028699985281991</v>
      </c>
      <c r="G403" s="15">
        <f t="shared" si="27"/>
        <v>42156</v>
      </c>
      <c r="H403" s="11">
        <v>0.35028699985281991</v>
      </c>
    </row>
    <row r="404" spans="1:8">
      <c r="A404" s="15">
        <f t="shared" si="24"/>
        <v>42186</v>
      </c>
      <c r="B404" s="10">
        <v>238.654</v>
      </c>
      <c r="C404" s="10">
        <f t="shared" si="25"/>
        <v>1.5999999999991132E-2</v>
      </c>
      <c r="D404" s="16">
        <f t="shared" si="26"/>
        <v>6.7047159295632423E-3</v>
      </c>
      <c r="G404" s="15">
        <f t="shared" si="27"/>
        <v>42186</v>
      </c>
      <c r="H404" s="11">
        <v>6.7047159295632423E-3</v>
      </c>
    </row>
    <row r="405" spans="1:8">
      <c r="A405" s="15">
        <f t="shared" si="24"/>
        <v>42217</v>
      </c>
      <c r="B405" s="10">
        <v>238.316</v>
      </c>
      <c r="C405" s="10">
        <f t="shared" si="25"/>
        <v>-0.33799999999999386</v>
      </c>
      <c r="D405" s="16">
        <f t="shared" si="26"/>
        <v>-0.14162762828194536</v>
      </c>
      <c r="G405" s="15">
        <f t="shared" si="27"/>
        <v>42217</v>
      </c>
      <c r="H405" s="11">
        <v>-0.14162762828194536</v>
      </c>
    </row>
    <row r="406" spans="1:8">
      <c r="A406" s="15">
        <f t="shared" si="24"/>
        <v>42248</v>
      </c>
      <c r="B406" s="10">
        <v>237.94499999999999</v>
      </c>
      <c r="C406" s="10">
        <f t="shared" si="25"/>
        <v>-0.37100000000000932</v>
      </c>
      <c r="D406" s="16">
        <f t="shared" si="26"/>
        <v>-0.15567565753034179</v>
      </c>
      <c r="G406" s="15">
        <f t="shared" si="27"/>
        <v>42248</v>
      </c>
      <c r="H406" s="11">
        <v>-0.15567565753034179</v>
      </c>
    </row>
    <row r="407" spans="1:8">
      <c r="A407" s="15">
        <f t="shared" si="24"/>
        <v>42278</v>
      </c>
      <c r="B407" s="10">
        <v>237.83799999999999</v>
      </c>
      <c r="C407" s="10">
        <f t="shared" si="25"/>
        <v>-0.10699999999999932</v>
      </c>
      <c r="D407" s="16">
        <f t="shared" si="26"/>
        <v>-4.496837504465289E-2</v>
      </c>
      <c r="G407" s="15">
        <f t="shared" si="27"/>
        <v>42278</v>
      </c>
      <c r="H407" s="11">
        <v>-4.496837504465289E-2</v>
      </c>
    </row>
    <row r="408" spans="1:8">
      <c r="A408" s="15">
        <f t="shared" si="24"/>
        <v>42309</v>
      </c>
      <c r="B408" s="10">
        <v>237.33600000000001</v>
      </c>
      <c r="C408" s="10">
        <f t="shared" si="25"/>
        <v>-0.50199999999998113</v>
      </c>
      <c r="D408" s="16">
        <f t="shared" si="26"/>
        <v>-0.21106803790814804</v>
      </c>
      <c r="G408" s="15">
        <f t="shared" si="27"/>
        <v>42309</v>
      </c>
      <c r="H408" s="11">
        <v>-0.21106803790814804</v>
      </c>
    </row>
    <row r="409" spans="1:8">
      <c r="A409" s="15">
        <f t="shared" si="24"/>
        <v>42339</v>
      </c>
      <c r="B409" s="10">
        <v>236.52500000000001</v>
      </c>
      <c r="C409" s="10">
        <f t="shared" si="25"/>
        <v>-0.81100000000000705</v>
      </c>
      <c r="D409" s="16">
        <f t="shared" si="26"/>
        <v>-0.34170964371187135</v>
      </c>
      <c r="G409" s="15">
        <f t="shared" si="27"/>
        <v>42339</v>
      </c>
      <c r="H409" s="11">
        <v>-0.34170964371187135</v>
      </c>
    </row>
    <row r="410" spans="1:8">
      <c r="A410" s="15">
        <f t="shared" si="24"/>
        <v>42370</v>
      </c>
      <c r="B410" s="10">
        <v>236.916</v>
      </c>
      <c r="C410" s="10">
        <f t="shared" si="25"/>
        <v>0.39099999999999113</v>
      </c>
      <c r="D410" s="16">
        <f t="shared" si="26"/>
        <v>0.16531022090687714</v>
      </c>
      <c r="G410" s="15">
        <f t="shared" si="27"/>
        <v>42370</v>
      </c>
      <c r="H410" s="11">
        <v>0.16531022090687714</v>
      </c>
    </row>
    <row r="411" spans="1:8">
      <c r="A411" s="15">
        <f t="shared" si="24"/>
        <v>42401</v>
      </c>
      <c r="B411" s="10">
        <v>237.11099999999999</v>
      </c>
      <c r="C411" s="10">
        <f t="shared" si="25"/>
        <v>0.19499999999999318</v>
      </c>
      <c r="D411" s="16">
        <f t="shared" si="26"/>
        <v>8.2307653345486662E-2</v>
      </c>
      <c r="G411" s="15">
        <f t="shared" si="27"/>
        <v>42401</v>
      </c>
      <c r="H411" s="11">
        <v>8.2307653345486662E-2</v>
      </c>
    </row>
    <row r="412" spans="1:8">
      <c r="A412" s="15">
        <f t="shared" si="24"/>
        <v>42430</v>
      </c>
      <c r="B412" s="10">
        <v>238.13200000000001</v>
      </c>
      <c r="C412" s="10">
        <f t="shared" si="25"/>
        <v>1.021000000000015</v>
      </c>
      <c r="D412" s="16">
        <f t="shared" si="26"/>
        <v>0.43060001433928202</v>
      </c>
      <c r="G412" s="15">
        <f t="shared" si="27"/>
        <v>42430</v>
      </c>
      <c r="H412" s="11">
        <v>0.43060001433928202</v>
      </c>
    </row>
    <row r="413" spans="1:8">
      <c r="A413" s="15">
        <f t="shared" si="24"/>
        <v>42461</v>
      </c>
      <c r="B413" s="10">
        <v>239.261</v>
      </c>
      <c r="C413" s="10">
        <f t="shared" si="25"/>
        <v>1.1289999999999907</v>
      </c>
      <c r="D413" s="16">
        <f t="shared" si="26"/>
        <v>0.47410679791039867</v>
      </c>
      <c r="G413" s="15">
        <f t="shared" si="27"/>
        <v>42461</v>
      </c>
      <c r="H413" s="11">
        <v>0.47410679791039867</v>
      </c>
    </row>
    <row r="414" spans="1:8">
      <c r="A414" s="15">
        <f t="shared" si="24"/>
        <v>42491</v>
      </c>
      <c r="B414" s="10">
        <v>240.22900000000001</v>
      </c>
      <c r="C414" s="10">
        <f t="shared" si="25"/>
        <v>0.96800000000001774</v>
      </c>
      <c r="D414" s="16">
        <f t="shared" si="26"/>
        <v>0.4045790998115103</v>
      </c>
      <c r="G414" s="15">
        <f t="shared" si="27"/>
        <v>42491</v>
      </c>
      <c r="H414" s="11">
        <v>0.4045790998115103</v>
      </c>
    </row>
    <row r="415" spans="1:8">
      <c r="A415" s="15">
        <f t="shared" si="24"/>
        <v>42522</v>
      </c>
      <c r="B415" s="10">
        <v>241.018</v>
      </c>
      <c r="C415" s="10">
        <f t="shared" si="25"/>
        <v>0.78899999999998727</v>
      </c>
      <c r="D415" s="16">
        <f t="shared" si="26"/>
        <v>0.32843661672819985</v>
      </c>
      <c r="G415" s="15">
        <f t="shared" si="27"/>
        <v>42522</v>
      </c>
      <c r="H415" s="11">
        <v>0.32843661672819985</v>
      </c>
    </row>
    <row r="416" spans="1:8">
      <c r="A416" s="15">
        <f t="shared" si="24"/>
        <v>42552</v>
      </c>
      <c r="B416" s="10">
        <v>240.62799999999999</v>
      </c>
      <c r="C416" s="10">
        <f t="shared" si="25"/>
        <v>-0.39000000000001478</v>
      </c>
      <c r="D416" s="16">
        <f t="shared" si="26"/>
        <v>-0.16181364047499139</v>
      </c>
      <c r="G416" s="15">
        <f t="shared" si="27"/>
        <v>42552</v>
      </c>
      <c r="H416" s="11">
        <v>-0.16181364047499139</v>
      </c>
    </row>
    <row r="417" spans="1:8">
      <c r="A417" s="15">
        <f t="shared" si="24"/>
        <v>42583</v>
      </c>
      <c r="B417" s="10">
        <v>240.84899999999999</v>
      </c>
      <c r="C417" s="10">
        <f t="shared" si="25"/>
        <v>0.22100000000000364</v>
      </c>
      <c r="D417" s="16">
        <f t="shared" si="26"/>
        <v>9.1843010788438442E-2</v>
      </c>
      <c r="G417" s="15">
        <f t="shared" si="27"/>
        <v>42583</v>
      </c>
      <c r="H417" s="11">
        <v>9.1843010788438442E-2</v>
      </c>
    </row>
    <row r="418" spans="1:8">
      <c r="A418" s="15">
        <f t="shared" si="24"/>
        <v>42614</v>
      </c>
      <c r="B418" s="10">
        <v>241.428</v>
      </c>
      <c r="C418" s="10">
        <f t="shared" si="25"/>
        <v>0.57900000000000773</v>
      </c>
      <c r="D418" s="16">
        <f t="shared" si="26"/>
        <v>0.24039958646289075</v>
      </c>
      <c r="G418" s="15">
        <f t="shared" si="27"/>
        <v>42614</v>
      </c>
      <c r="H418" s="11">
        <v>0.24039958646289075</v>
      </c>
    </row>
    <row r="419" spans="1:8">
      <c r="A419" s="15">
        <f t="shared" si="24"/>
        <v>42644</v>
      </c>
      <c r="B419" s="10">
        <v>241.72900000000001</v>
      </c>
      <c r="C419" s="10">
        <f t="shared" si="25"/>
        <v>0.30100000000001614</v>
      </c>
      <c r="D419" s="16">
        <f t="shared" si="26"/>
        <v>0.12467485130142988</v>
      </c>
      <c r="G419" s="15">
        <f t="shared" si="27"/>
        <v>42644</v>
      </c>
      <c r="H419" s="11">
        <v>0.12467485130142988</v>
      </c>
    </row>
    <row r="420" spans="1:8">
      <c r="A420" s="15">
        <f t="shared" si="24"/>
        <v>42675</v>
      </c>
      <c r="B420" s="10">
        <v>241.35300000000001</v>
      </c>
      <c r="C420" s="10">
        <f t="shared" si="25"/>
        <v>-0.37600000000000477</v>
      </c>
      <c r="D420" s="16">
        <f t="shared" si="26"/>
        <v>-0.15554608673349277</v>
      </c>
      <c r="G420" s="15">
        <f t="shared" si="27"/>
        <v>42675</v>
      </c>
      <c r="H420" s="11">
        <v>-0.15554608673349277</v>
      </c>
    </row>
    <row r="421" spans="1:8">
      <c r="A421" s="15">
        <f t="shared" si="24"/>
        <v>42705</v>
      </c>
      <c r="B421" s="10">
        <v>241.43199999999999</v>
      </c>
      <c r="C421" s="10">
        <f t="shared" si="25"/>
        <v>7.8999999999979309E-2</v>
      </c>
      <c r="D421" s="16">
        <f t="shared" si="26"/>
        <v>3.2732139231739114E-2</v>
      </c>
      <c r="G421" s="15">
        <f t="shared" si="27"/>
        <v>42705</v>
      </c>
      <c r="H421" s="11">
        <v>3.2732139231739114E-2</v>
      </c>
    </row>
    <row r="422" spans="1:8">
      <c r="A422" s="15">
        <f t="shared" si="24"/>
        <v>42736</v>
      </c>
      <c r="B422" s="10">
        <v>242.839</v>
      </c>
      <c r="C422" s="10">
        <f t="shared" si="25"/>
        <v>1.4070000000000107</v>
      </c>
      <c r="D422" s="16">
        <f t="shared" si="26"/>
        <v>0.58277278902548568</v>
      </c>
      <c r="G422" s="15">
        <f t="shared" si="27"/>
        <v>42736</v>
      </c>
      <c r="H422" s="11">
        <v>0.58277278902548568</v>
      </c>
    </row>
    <row r="423" spans="1:8">
      <c r="A423" s="15">
        <f t="shared" si="24"/>
        <v>42767</v>
      </c>
      <c r="B423" s="10">
        <v>243.60300000000001</v>
      </c>
      <c r="C423" s="10">
        <f t="shared" si="25"/>
        <v>0.76400000000001</v>
      </c>
      <c r="D423" s="16">
        <f t="shared" si="26"/>
        <v>0.31461173864165559</v>
      </c>
      <c r="G423" s="15">
        <f t="shared" si="27"/>
        <v>42767</v>
      </c>
      <c r="H423" s="11">
        <v>0.31461173864165559</v>
      </c>
    </row>
    <row r="424" spans="1:8">
      <c r="A424" s="15">
        <f t="shared" si="24"/>
        <v>42795</v>
      </c>
      <c r="B424" s="10">
        <v>243.80099999999999</v>
      </c>
      <c r="C424" s="10">
        <f t="shared" si="25"/>
        <v>0.19799999999997908</v>
      </c>
      <c r="D424" s="16">
        <f t="shared" si="26"/>
        <v>8.1279787194730391E-2</v>
      </c>
      <c r="G424" s="15">
        <f t="shared" si="27"/>
        <v>42795</v>
      </c>
      <c r="H424" s="11">
        <v>8.1279787194730391E-2</v>
      </c>
    </row>
    <row r="425" spans="1:8">
      <c r="A425" s="15">
        <f t="shared" si="24"/>
        <v>42826</v>
      </c>
      <c r="B425" s="10">
        <v>244.524</v>
      </c>
      <c r="C425" s="10">
        <f t="shared" si="25"/>
        <v>0.72300000000001319</v>
      </c>
      <c r="D425" s="16">
        <f t="shared" si="26"/>
        <v>0.29655333653266935</v>
      </c>
      <c r="G425" s="15">
        <f t="shared" si="27"/>
        <v>42826</v>
      </c>
      <c r="H425" s="11">
        <v>0.29655333653266935</v>
      </c>
    </row>
    <row r="426" spans="1:8">
      <c r="A426" s="15">
        <f t="shared" si="24"/>
        <v>42856</v>
      </c>
      <c r="B426" s="10">
        <v>244.733</v>
      </c>
      <c r="C426" s="10">
        <f t="shared" si="25"/>
        <v>0.20900000000000318</v>
      </c>
      <c r="D426" s="16">
        <f t="shared" si="26"/>
        <v>8.5472182689635037E-2</v>
      </c>
      <c r="G426" s="15">
        <f t="shared" si="27"/>
        <v>42856</v>
      </c>
      <c r="H426" s="11">
        <v>8.5472182689635037E-2</v>
      </c>
    </row>
    <row r="427" spans="1:8">
      <c r="A427" s="15">
        <f t="shared" si="24"/>
        <v>42887</v>
      </c>
      <c r="B427" s="10">
        <v>244.95500000000001</v>
      </c>
      <c r="C427" s="10">
        <f t="shared" si="25"/>
        <v>0.22200000000000841</v>
      </c>
      <c r="D427" s="16">
        <f t="shared" si="26"/>
        <v>9.0711101486112791E-2</v>
      </c>
      <c r="G427" s="15">
        <f t="shared" si="27"/>
        <v>42887</v>
      </c>
      <c r="H427" s="11">
        <v>9.0711101486112791E-2</v>
      </c>
    </row>
    <row r="428" spans="1:8">
      <c r="A428" s="15">
        <f t="shared" si="24"/>
        <v>42917</v>
      </c>
      <c r="B428" s="10">
        <v>244.786</v>
      </c>
      <c r="C428" s="10">
        <f t="shared" si="25"/>
        <v>-0.16900000000001114</v>
      </c>
      <c r="D428" s="16">
        <f t="shared" si="26"/>
        <v>-6.8992263885207947E-2</v>
      </c>
      <c r="G428" s="15">
        <f t="shared" si="27"/>
        <v>42917</v>
      </c>
      <c r="H428" s="11">
        <v>-6.8992263885207947E-2</v>
      </c>
    </row>
    <row r="429" spans="1:8">
      <c r="A429" s="15">
        <f t="shared" si="24"/>
        <v>42948</v>
      </c>
      <c r="B429" s="10">
        <v>245.51900000000001</v>
      </c>
      <c r="C429" s="10">
        <f t="shared" si="25"/>
        <v>0.73300000000000409</v>
      </c>
      <c r="D429" s="16">
        <f t="shared" si="26"/>
        <v>0.29944522971085114</v>
      </c>
      <c r="G429" s="15">
        <f t="shared" si="27"/>
        <v>42948</v>
      </c>
      <c r="H429" s="11">
        <v>0.29944522971085114</v>
      </c>
    </row>
    <row r="430" spans="1:8">
      <c r="A430" s="15">
        <f t="shared" si="24"/>
        <v>42979</v>
      </c>
      <c r="B430" s="10">
        <v>246.81899999999999</v>
      </c>
      <c r="C430" s="10">
        <f t="shared" si="25"/>
        <v>1.2999999999999829</v>
      </c>
      <c r="D430" s="16">
        <f t="shared" si="26"/>
        <v>0.52949058932301896</v>
      </c>
      <c r="G430" s="15">
        <f t="shared" si="27"/>
        <v>42979</v>
      </c>
      <c r="H430" s="11">
        <v>0.52949058932301896</v>
      </c>
    </row>
    <row r="431" spans="1:8">
      <c r="A431" s="15">
        <f t="shared" si="24"/>
        <v>43009</v>
      </c>
      <c r="B431" s="10">
        <v>246.66300000000001</v>
      </c>
      <c r="C431" s="10">
        <f t="shared" si="25"/>
        <v>-0.15599999999997749</v>
      </c>
      <c r="D431" s="16">
        <f t="shared" si="26"/>
        <v>-6.3204210372774169E-2</v>
      </c>
      <c r="G431" s="15">
        <f t="shared" si="27"/>
        <v>43009</v>
      </c>
      <c r="H431" s="11">
        <v>-6.3204210372774169E-2</v>
      </c>
    </row>
    <row r="432" spans="1:8">
      <c r="A432" s="15">
        <f t="shared" si="24"/>
        <v>43040</v>
      </c>
      <c r="B432" s="10">
        <v>246.66900000000001</v>
      </c>
      <c r="C432" s="10">
        <f t="shared" si="25"/>
        <v>6.0000000000002274E-3</v>
      </c>
      <c r="D432" s="16">
        <f t="shared" si="26"/>
        <v>2.4324685907494139E-3</v>
      </c>
      <c r="G432" s="15">
        <f t="shared" si="27"/>
        <v>43040</v>
      </c>
      <c r="H432" s="11">
        <v>2.4324685907494139E-3</v>
      </c>
    </row>
    <row r="433" spans="1:8">
      <c r="A433" s="15">
        <f t="shared" si="24"/>
        <v>43070</v>
      </c>
      <c r="B433" s="10">
        <v>246.524</v>
      </c>
      <c r="C433" s="10">
        <f t="shared" si="25"/>
        <v>-0.14500000000001023</v>
      </c>
      <c r="D433" s="16">
        <f t="shared" si="26"/>
        <v>-5.8783227726228363E-2</v>
      </c>
      <c r="G433" s="15">
        <f t="shared" si="27"/>
        <v>43070</v>
      </c>
      <c r="H433" s="11">
        <v>-5.8783227726228363E-2</v>
      </c>
    </row>
    <row r="434" spans="1:8">
      <c r="A434" s="15">
        <f t="shared" si="24"/>
        <v>43101</v>
      </c>
      <c r="B434" s="10">
        <v>247.86699999999999</v>
      </c>
      <c r="C434" s="10">
        <f t="shared" si="25"/>
        <v>1.3429999999999893</v>
      </c>
      <c r="D434" s="16">
        <f t="shared" si="26"/>
        <v>0.54477454527753455</v>
      </c>
      <c r="G434" s="15">
        <f t="shared" si="27"/>
        <v>43101</v>
      </c>
      <c r="H434" s="11">
        <v>0.54477454527753455</v>
      </c>
    </row>
    <row r="435" spans="1:8">
      <c r="A435" s="15">
        <f t="shared" si="24"/>
        <v>43132</v>
      </c>
      <c r="B435" s="10">
        <v>248.99100000000001</v>
      </c>
      <c r="C435" s="10">
        <f t="shared" si="25"/>
        <v>1.1240000000000236</v>
      </c>
      <c r="D435" s="16">
        <f t="shared" si="26"/>
        <v>0.45346899748656488</v>
      </c>
      <c r="G435" s="15">
        <f t="shared" si="27"/>
        <v>43132</v>
      </c>
      <c r="H435" s="11">
        <v>0.45346899748656488</v>
      </c>
    </row>
    <row r="436" spans="1:8">
      <c r="A436" s="15">
        <f t="shared" si="24"/>
        <v>43160</v>
      </c>
      <c r="B436" s="10">
        <v>249.554</v>
      </c>
      <c r="C436" s="10">
        <f t="shared" si="25"/>
        <v>0.56299999999998818</v>
      </c>
      <c r="D436" s="16">
        <f t="shared" si="26"/>
        <v>0.2261125904149098</v>
      </c>
      <c r="G436" s="15">
        <f t="shared" si="27"/>
        <v>43160</v>
      </c>
      <c r="H436" s="11">
        <v>0.2261125904149098</v>
      </c>
    </row>
    <row r="437" spans="1:8">
      <c r="A437" s="15">
        <f t="shared" si="24"/>
        <v>43191</v>
      </c>
      <c r="B437" s="10">
        <v>250.54599999999999</v>
      </c>
      <c r="C437" s="10">
        <f t="shared" si="25"/>
        <v>0.99199999999999022</v>
      </c>
      <c r="D437" s="16">
        <f t="shared" si="26"/>
        <v>0.39750915633489753</v>
      </c>
      <c r="G437" s="15">
        <f t="shared" si="27"/>
        <v>43191</v>
      </c>
      <c r="H437" s="11">
        <v>0.39750915633489753</v>
      </c>
    </row>
    <row r="438" spans="1:8">
      <c r="A438" s="15">
        <f t="shared" si="24"/>
        <v>43221</v>
      </c>
      <c r="B438" s="10">
        <v>251.58799999999999</v>
      </c>
      <c r="C438" s="10">
        <f t="shared" si="25"/>
        <v>1.0420000000000016</v>
      </c>
      <c r="D438" s="16">
        <f t="shared" si="26"/>
        <v>0.41589169254348568</v>
      </c>
      <c r="G438" s="15">
        <f t="shared" si="27"/>
        <v>43221</v>
      </c>
      <c r="H438" s="11">
        <v>0.41589169254348568</v>
      </c>
    </row>
    <row r="439" spans="1:8">
      <c r="A439" s="15">
        <f t="shared" si="24"/>
        <v>43252</v>
      </c>
      <c r="B439" s="10">
        <v>251.989</v>
      </c>
      <c r="C439" s="10">
        <f t="shared" si="25"/>
        <v>0.40100000000001046</v>
      </c>
      <c r="D439" s="16">
        <f t="shared" si="26"/>
        <v>0.15938757015438354</v>
      </c>
      <c r="G439" s="15">
        <f t="shared" si="27"/>
        <v>43252</v>
      </c>
      <c r="H439" s="11">
        <v>0.15938757015438354</v>
      </c>
    </row>
    <row r="440" spans="1:8">
      <c r="A440" s="15">
        <f t="shared" si="24"/>
        <v>43282</v>
      </c>
      <c r="B440" s="10">
        <v>252.006</v>
      </c>
      <c r="C440" s="10">
        <f t="shared" si="25"/>
        <v>1.6999999999995907E-2</v>
      </c>
      <c r="D440" s="16">
        <f t="shared" si="26"/>
        <v>6.7463262285242243E-3</v>
      </c>
      <c r="G440" s="15">
        <f t="shared" si="27"/>
        <v>43282</v>
      </c>
      <c r="H440" s="11">
        <v>6.7463262285242243E-3</v>
      </c>
    </row>
    <row r="441" spans="1:8">
      <c r="A441" s="15">
        <f t="shared" si="24"/>
        <v>43313</v>
      </c>
      <c r="B441" s="10">
        <v>252.14599999999999</v>
      </c>
      <c r="C441" s="10">
        <f t="shared" si="25"/>
        <v>0.13999999999998636</v>
      </c>
      <c r="D441" s="16">
        <f t="shared" si="26"/>
        <v>5.5554232835720724E-2</v>
      </c>
      <c r="G441" s="15">
        <f t="shared" si="27"/>
        <v>43313</v>
      </c>
      <c r="H441" s="11">
        <v>5.5554232835720724E-2</v>
      </c>
    </row>
    <row r="442" spans="1:8">
      <c r="A442" s="15">
        <f t="shared" si="24"/>
        <v>43344</v>
      </c>
      <c r="B442" s="10">
        <v>252.43899999999999</v>
      </c>
      <c r="C442" s="10">
        <f t="shared" si="25"/>
        <v>0.29300000000000637</v>
      </c>
      <c r="D442" s="16">
        <f t="shared" si="26"/>
        <v>0.11620251758901842</v>
      </c>
      <c r="G442" s="15">
        <f t="shared" si="27"/>
        <v>43344</v>
      </c>
      <c r="H442" s="11">
        <v>0.11620251758901842</v>
      </c>
    </row>
    <row r="443" spans="1:8">
      <c r="A443" s="15">
        <f t="shared" si="24"/>
        <v>43374</v>
      </c>
      <c r="B443" s="10">
        <v>252.88499999999999</v>
      </c>
      <c r="C443" s="10">
        <f t="shared" si="25"/>
        <v>0.44599999999999795</v>
      </c>
      <c r="D443" s="16">
        <f t="shared" si="26"/>
        <v>0.17667634557259296</v>
      </c>
      <c r="G443" s="15">
        <f t="shared" si="27"/>
        <v>43374</v>
      </c>
      <c r="H443" s="11">
        <v>0.17667634557259296</v>
      </c>
    </row>
    <row r="444" spans="1:8">
      <c r="A444" s="15">
        <f t="shared" si="24"/>
        <v>43405</v>
      </c>
      <c r="B444" s="10">
        <v>252.03800000000001</v>
      </c>
      <c r="C444" s="10">
        <f t="shared" si="25"/>
        <v>-0.84699999999997999</v>
      </c>
      <c r="D444" s="16">
        <f t="shared" si="26"/>
        <v>-0.33493485181010341</v>
      </c>
      <c r="G444" s="15">
        <f t="shared" si="27"/>
        <v>43405</v>
      </c>
      <c r="H444" s="11">
        <v>-0.33493485181010341</v>
      </c>
    </row>
    <row r="445" spans="1:8">
      <c r="A445" s="15">
        <f t="shared" si="24"/>
        <v>43435</v>
      </c>
      <c r="B445" s="10">
        <v>251.233</v>
      </c>
      <c r="C445" s="10">
        <f t="shared" si="25"/>
        <v>-0.80500000000000682</v>
      </c>
      <c r="D445" s="16">
        <f t="shared" si="26"/>
        <v>-0.31939628151310789</v>
      </c>
      <c r="G445" s="15">
        <f t="shared" si="27"/>
        <v>43435</v>
      </c>
      <c r="H445" s="11">
        <v>-0.31939628151310789</v>
      </c>
    </row>
    <row r="446" spans="1:8">
      <c r="A446" s="15">
        <f t="shared" si="24"/>
        <v>43466</v>
      </c>
      <c r="B446" s="10">
        <v>251.71199999999999</v>
      </c>
      <c r="C446" s="10">
        <f t="shared" si="25"/>
        <v>0.47899999999998499</v>
      </c>
      <c r="D446" s="16">
        <f t="shared" si="26"/>
        <v>0.19065966652469418</v>
      </c>
      <c r="G446" s="15">
        <f t="shared" si="27"/>
        <v>43466</v>
      </c>
      <c r="H446" s="11">
        <v>0.19065966652469418</v>
      </c>
    </row>
    <row r="447" spans="1:8">
      <c r="A447" s="15">
        <f t="shared" si="24"/>
        <v>43497</v>
      </c>
      <c r="B447" s="10">
        <v>252.77600000000001</v>
      </c>
      <c r="C447" s="10">
        <f t="shared" si="25"/>
        <v>1.0640000000000214</v>
      </c>
      <c r="D447" s="16">
        <f t="shared" si="26"/>
        <v>0.42270531400967032</v>
      </c>
      <c r="G447" s="15">
        <f t="shared" si="27"/>
        <v>43497</v>
      </c>
      <c r="H447" s="11">
        <v>0.42270531400967032</v>
      </c>
    </row>
    <row r="448" spans="1:8">
      <c r="A448" s="15">
        <f t="shared" si="24"/>
        <v>43525</v>
      </c>
      <c r="B448" s="10">
        <v>254.202</v>
      </c>
      <c r="C448" s="10">
        <f t="shared" si="25"/>
        <v>1.4259999999999877</v>
      </c>
      <c r="D448" s="16">
        <f t="shared" si="26"/>
        <v>0.56413583568059766</v>
      </c>
      <c r="G448" s="15">
        <f t="shared" si="27"/>
        <v>43525</v>
      </c>
      <c r="H448" s="11">
        <v>0.56413583568059766</v>
      </c>
    </row>
    <row r="449" spans="1:8">
      <c r="A449" s="15">
        <f t="shared" si="24"/>
        <v>43556</v>
      </c>
      <c r="B449" s="10">
        <v>255.548</v>
      </c>
      <c r="C449" s="10">
        <f t="shared" si="25"/>
        <v>1.3460000000000036</v>
      </c>
      <c r="D449" s="16">
        <f t="shared" si="26"/>
        <v>0.52950016128905508</v>
      </c>
      <c r="G449" s="15">
        <f t="shared" si="27"/>
        <v>43556</v>
      </c>
      <c r="H449" s="11">
        <v>0.52950016128905508</v>
      </c>
    </row>
    <row r="450" spans="1:8">
      <c r="A450" s="15">
        <f t="shared" si="24"/>
        <v>43586</v>
      </c>
      <c r="B450" s="10">
        <v>256.09199999999998</v>
      </c>
      <c r="C450" s="10">
        <f t="shared" si="25"/>
        <v>0.54399999999998272</v>
      </c>
      <c r="D450" s="16">
        <f t="shared" si="26"/>
        <v>0.21287585893843142</v>
      </c>
      <c r="G450" s="15">
        <f t="shared" si="27"/>
        <v>43586</v>
      </c>
      <c r="H450" s="11">
        <v>0.21287585893843142</v>
      </c>
    </row>
    <row r="451" spans="1:8">
      <c r="A451" s="15">
        <f t="shared" si="24"/>
        <v>43617</v>
      </c>
      <c r="B451" s="10">
        <v>256.14299999999997</v>
      </c>
      <c r="C451" s="10">
        <f t="shared" si="25"/>
        <v>5.0999999999987722E-2</v>
      </c>
      <c r="D451" s="16">
        <f t="shared" si="26"/>
        <v>1.9914718148160711E-2</v>
      </c>
      <c r="G451" s="15">
        <f t="shared" si="27"/>
        <v>43617</v>
      </c>
      <c r="H451" s="11">
        <v>1.9914718148160711E-2</v>
      </c>
    </row>
    <row r="452" spans="1:8">
      <c r="A452" s="15">
        <f t="shared" ref="A452:A515" si="28">EDATE(A451,1)</f>
        <v>43647</v>
      </c>
      <c r="B452" s="10">
        <v>256.57100000000003</v>
      </c>
      <c r="C452" s="10">
        <f t="shared" ref="C452:C515" si="29">B452-B451</f>
        <v>0.42800000000005411</v>
      </c>
      <c r="D452" s="16">
        <f t="shared" ref="D452:D515" si="30">(B452-B451)/B451*100</f>
        <v>0.16709416224532941</v>
      </c>
      <c r="G452" s="15">
        <f t="shared" ref="G452:G515" si="31">EDATE(G451,1)</f>
        <v>43647</v>
      </c>
      <c r="H452" s="11">
        <v>0.16709416224532941</v>
      </c>
    </row>
    <row r="453" spans="1:8">
      <c r="A453" s="15">
        <f t="shared" si="28"/>
        <v>43678</v>
      </c>
      <c r="B453" s="10">
        <v>256.55799999999999</v>
      </c>
      <c r="C453" s="10">
        <f t="shared" si="29"/>
        <v>-1.3000000000033651E-2</v>
      </c>
      <c r="D453" s="16">
        <f t="shared" si="30"/>
        <v>-5.0668236082930841E-3</v>
      </c>
      <c r="G453" s="15">
        <f t="shared" si="31"/>
        <v>43678</v>
      </c>
      <c r="H453" s="11">
        <v>-5.0668236082930841E-3</v>
      </c>
    </row>
    <row r="454" spans="1:8">
      <c r="A454" s="15">
        <f t="shared" si="28"/>
        <v>43709</v>
      </c>
      <c r="B454" s="10">
        <v>256.75900000000001</v>
      </c>
      <c r="C454" s="10">
        <f t="shared" si="29"/>
        <v>0.20100000000002183</v>
      </c>
      <c r="D454" s="16">
        <f t="shared" si="30"/>
        <v>7.8344857693005809E-2</v>
      </c>
      <c r="G454" s="15">
        <f t="shared" si="31"/>
        <v>43709</v>
      </c>
      <c r="H454" s="11">
        <v>7.8344857693005809E-2</v>
      </c>
    </row>
    <row r="455" spans="1:8">
      <c r="A455" s="15">
        <f t="shared" si="28"/>
        <v>43739</v>
      </c>
      <c r="B455" s="10">
        <v>257.346</v>
      </c>
      <c r="C455" s="10">
        <f t="shared" si="29"/>
        <v>0.58699999999998909</v>
      </c>
      <c r="D455" s="16">
        <f t="shared" si="30"/>
        <v>0.22861905522298695</v>
      </c>
      <c r="G455" s="15">
        <f t="shared" si="31"/>
        <v>43739</v>
      </c>
      <c r="H455" s="11">
        <v>0.22861905522298695</v>
      </c>
    </row>
    <row r="456" spans="1:8">
      <c r="A456" s="15">
        <f t="shared" si="28"/>
        <v>43770</v>
      </c>
      <c r="B456" s="10">
        <v>257.20800000000003</v>
      </c>
      <c r="C456" s="10">
        <f t="shared" si="29"/>
        <v>-0.13799999999997681</v>
      </c>
      <c r="D456" s="16">
        <f t="shared" si="30"/>
        <v>-5.362430346691878E-2</v>
      </c>
      <c r="G456" s="15">
        <f t="shared" si="31"/>
        <v>43770</v>
      </c>
      <c r="H456" s="11">
        <v>-5.362430346691878E-2</v>
      </c>
    </row>
    <row r="457" spans="1:8">
      <c r="A457" s="15">
        <f t="shared" si="28"/>
        <v>43800</v>
      </c>
      <c r="B457" s="10">
        <v>256.97399999999999</v>
      </c>
      <c r="C457" s="10">
        <f t="shared" si="29"/>
        <v>-0.23400000000003729</v>
      </c>
      <c r="D457" s="16">
        <f t="shared" si="30"/>
        <v>-9.0976952505379793E-2</v>
      </c>
      <c r="G457" s="15">
        <f t="shared" si="31"/>
        <v>43800</v>
      </c>
      <c r="H457" s="11">
        <v>-9.0976952505379793E-2</v>
      </c>
    </row>
    <row r="458" spans="1:8">
      <c r="A458" s="15">
        <f t="shared" si="28"/>
        <v>43831</v>
      </c>
      <c r="B458" s="10">
        <v>257.971</v>
      </c>
      <c r="C458" s="10">
        <f t="shared" si="29"/>
        <v>0.9970000000000141</v>
      </c>
      <c r="D458" s="16">
        <f t="shared" si="30"/>
        <v>0.38797699378147754</v>
      </c>
      <c r="G458" s="15">
        <f t="shared" si="31"/>
        <v>43831</v>
      </c>
      <c r="H458" s="11">
        <v>0.38797699378147754</v>
      </c>
    </row>
    <row r="459" spans="1:8">
      <c r="A459" s="15">
        <f t="shared" si="28"/>
        <v>43862</v>
      </c>
      <c r="B459" s="10">
        <v>258.678</v>
      </c>
      <c r="C459" s="10">
        <f t="shared" si="29"/>
        <v>0.70699999999999363</v>
      </c>
      <c r="D459" s="16">
        <f t="shared" si="30"/>
        <v>0.27406181314953759</v>
      </c>
      <c r="G459" s="15">
        <f t="shared" si="31"/>
        <v>43862</v>
      </c>
      <c r="H459" s="11">
        <v>0.27406181314953759</v>
      </c>
    </row>
    <row r="460" spans="1:8">
      <c r="A460" s="15">
        <f t="shared" si="28"/>
        <v>43891</v>
      </c>
      <c r="B460" s="10">
        <v>258.11500000000001</v>
      </c>
      <c r="C460" s="10">
        <f t="shared" si="29"/>
        <v>-0.56299999999998818</v>
      </c>
      <c r="D460" s="16">
        <f t="shared" si="30"/>
        <v>-0.21764510317846442</v>
      </c>
      <c r="G460" s="15">
        <f t="shared" si="31"/>
        <v>43891</v>
      </c>
      <c r="H460" s="11">
        <v>-0.21764510317846442</v>
      </c>
    </row>
    <row r="461" spans="1:8">
      <c r="A461" s="15">
        <f t="shared" si="28"/>
        <v>43922</v>
      </c>
      <c r="B461" s="10">
        <v>256.38900000000001</v>
      </c>
      <c r="C461" s="10">
        <f t="shared" si="29"/>
        <v>-1.7259999999999991</v>
      </c>
      <c r="D461" s="16">
        <f t="shared" si="30"/>
        <v>-0.66869418669972647</v>
      </c>
      <c r="G461" s="15">
        <f t="shared" si="31"/>
        <v>43922</v>
      </c>
      <c r="H461" s="11">
        <v>-0.66869418669972647</v>
      </c>
    </row>
    <row r="462" spans="1:8">
      <c r="A462" s="15">
        <f t="shared" si="28"/>
        <v>43952</v>
      </c>
      <c r="B462" s="10">
        <v>256.39400000000001</v>
      </c>
      <c r="C462" s="10">
        <f t="shared" si="29"/>
        <v>4.9999999999954525E-3</v>
      </c>
      <c r="D462" s="16">
        <f t="shared" si="30"/>
        <v>1.9501616684005367E-3</v>
      </c>
      <c r="G462" s="15">
        <f t="shared" si="31"/>
        <v>43952</v>
      </c>
      <c r="H462" s="11">
        <v>1.9501616684005367E-3</v>
      </c>
    </row>
    <row r="463" spans="1:8">
      <c r="A463" s="15">
        <f t="shared" si="28"/>
        <v>43983</v>
      </c>
      <c r="B463" s="10">
        <v>257.79700000000003</v>
      </c>
      <c r="C463" s="10">
        <f t="shared" si="29"/>
        <v>1.40300000000002</v>
      </c>
      <c r="D463" s="16">
        <f t="shared" si="30"/>
        <v>0.54720469277752992</v>
      </c>
      <c r="G463" s="15">
        <f t="shared" si="31"/>
        <v>43983</v>
      </c>
      <c r="H463" s="11">
        <v>0.54720469277752992</v>
      </c>
    </row>
    <row r="464" spans="1:8">
      <c r="A464" s="15">
        <f t="shared" si="28"/>
        <v>44013</v>
      </c>
      <c r="B464" s="10">
        <v>259.101</v>
      </c>
      <c r="C464" s="10">
        <f t="shared" si="29"/>
        <v>1.3039999999999736</v>
      </c>
      <c r="D464" s="16">
        <f t="shared" si="30"/>
        <v>0.50582435016698157</v>
      </c>
      <c r="G464" s="15">
        <f t="shared" si="31"/>
        <v>44013</v>
      </c>
      <c r="H464" s="11">
        <v>0.50582435016698157</v>
      </c>
    </row>
    <row r="465" spans="1:8">
      <c r="A465" s="15">
        <f t="shared" si="28"/>
        <v>44044</v>
      </c>
      <c r="B465" s="10">
        <v>259.91800000000001</v>
      </c>
      <c r="C465" s="10">
        <f t="shared" si="29"/>
        <v>0.81700000000000728</v>
      </c>
      <c r="D465" s="16">
        <f t="shared" si="30"/>
        <v>0.31532105240813707</v>
      </c>
      <c r="G465" s="15">
        <f t="shared" si="31"/>
        <v>44044</v>
      </c>
      <c r="H465" s="11">
        <v>0.31532105240813707</v>
      </c>
    </row>
    <row r="466" spans="1:8">
      <c r="A466" s="15">
        <f t="shared" si="28"/>
        <v>44075</v>
      </c>
      <c r="B466" s="10">
        <v>260.27999999999997</v>
      </c>
      <c r="C466" s="10">
        <f t="shared" si="29"/>
        <v>0.36199999999996635</v>
      </c>
      <c r="D466" s="16">
        <f t="shared" si="30"/>
        <v>0.13927469432665932</v>
      </c>
      <c r="G466" s="15">
        <f t="shared" si="31"/>
        <v>44075</v>
      </c>
      <c r="H466" s="11">
        <v>0.13927469432665932</v>
      </c>
    </row>
    <row r="467" spans="1:8">
      <c r="A467" s="15">
        <f t="shared" si="28"/>
        <v>44105</v>
      </c>
      <c r="B467" s="10">
        <v>260.38799999999998</v>
      </c>
      <c r="C467" s="10">
        <f t="shared" si="29"/>
        <v>0.10800000000000409</v>
      </c>
      <c r="D467" s="16">
        <f t="shared" si="30"/>
        <v>4.1493775933611532E-2</v>
      </c>
      <c r="G467" s="15">
        <f t="shared" si="31"/>
        <v>44105</v>
      </c>
      <c r="H467" s="11">
        <v>4.1493775933611532E-2</v>
      </c>
    </row>
    <row r="468" spans="1:8">
      <c r="A468" s="15">
        <f t="shared" si="28"/>
        <v>44136</v>
      </c>
      <c r="B468" s="10">
        <v>260.22899999999998</v>
      </c>
      <c r="C468" s="10">
        <f t="shared" si="29"/>
        <v>-0.15899999999999181</v>
      </c>
      <c r="D468" s="16">
        <f t="shared" si="30"/>
        <v>-6.1062721784410898E-2</v>
      </c>
      <c r="G468" s="15">
        <f t="shared" si="31"/>
        <v>44136</v>
      </c>
      <c r="H468" s="11">
        <v>-6.1062721784410898E-2</v>
      </c>
    </row>
    <row r="469" spans="1:8">
      <c r="A469" s="15">
        <f t="shared" si="28"/>
        <v>44166</v>
      </c>
      <c r="B469" s="10">
        <v>260.47399999999999</v>
      </c>
      <c r="C469" s="10">
        <f t="shared" si="29"/>
        <v>0.24500000000000455</v>
      </c>
      <c r="D469" s="16">
        <f t="shared" si="30"/>
        <v>9.4147846704250707E-2</v>
      </c>
      <c r="G469" s="15">
        <f t="shared" si="31"/>
        <v>44166</v>
      </c>
      <c r="H469" s="11">
        <v>9.4147846704250707E-2</v>
      </c>
    </row>
    <row r="470" spans="1:8">
      <c r="A470" s="15">
        <f t="shared" si="28"/>
        <v>44197</v>
      </c>
      <c r="B470" s="10">
        <v>261.58199999999999</v>
      </c>
      <c r="C470" s="10">
        <f t="shared" si="29"/>
        <v>1.1080000000000041</v>
      </c>
      <c r="D470" s="16">
        <f t="shared" si="30"/>
        <v>0.42537834870275115</v>
      </c>
      <c r="G470" s="15">
        <f t="shared" si="31"/>
        <v>44197</v>
      </c>
      <c r="H470" s="11">
        <v>0.42537834870275115</v>
      </c>
    </row>
    <row r="471" spans="1:8">
      <c r="A471" s="15">
        <f t="shared" si="28"/>
        <v>44228</v>
      </c>
      <c r="B471" s="10">
        <v>263.01400000000001</v>
      </c>
      <c r="C471" s="10">
        <f t="shared" si="29"/>
        <v>1.4320000000000164</v>
      </c>
      <c r="D471" s="16">
        <f t="shared" si="30"/>
        <v>0.54743827939231915</v>
      </c>
      <c r="G471" s="15">
        <f t="shared" si="31"/>
        <v>44228</v>
      </c>
      <c r="H471" s="11">
        <v>0.54743827939231915</v>
      </c>
    </row>
    <row r="472" spans="1:8">
      <c r="A472" s="15">
        <f t="shared" si="28"/>
        <v>44256</v>
      </c>
      <c r="B472" s="10">
        <v>264.87700000000001</v>
      </c>
      <c r="C472" s="10">
        <f t="shared" si="29"/>
        <v>1.8629999999999995</v>
      </c>
      <c r="D472" s="16">
        <f t="shared" si="30"/>
        <v>0.70832731337495325</v>
      </c>
      <c r="G472" s="15">
        <f t="shared" si="31"/>
        <v>44256</v>
      </c>
      <c r="H472" s="11">
        <v>0.70832731337495325</v>
      </c>
    </row>
    <row r="473" spans="1:8">
      <c r="A473" s="15">
        <f t="shared" si="28"/>
        <v>44287</v>
      </c>
      <c r="B473" s="10">
        <v>267.05399999999997</v>
      </c>
      <c r="C473" s="10">
        <f t="shared" si="29"/>
        <v>2.1769999999999641</v>
      </c>
      <c r="D473" s="16">
        <f t="shared" si="30"/>
        <v>0.82189091540600512</v>
      </c>
      <c r="G473" s="15">
        <f t="shared" si="31"/>
        <v>44287</v>
      </c>
      <c r="H473" s="11">
        <v>0.82189091540600512</v>
      </c>
    </row>
    <row r="474" spans="1:8">
      <c r="A474" s="15">
        <f t="shared" si="28"/>
        <v>44317</v>
      </c>
      <c r="B474" s="10">
        <v>269.19499999999999</v>
      </c>
      <c r="C474" s="10">
        <f t="shared" si="29"/>
        <v>2.1410000000000196</v>
      </c>
      <c r="D474" s="16">
        <f t="shared" si="30"/>
        <v>0.80171051547627803</v>
      </c>
      <c r="G474" s="15">
        <f t="shared" si="31"/>
        <v>44317</v>
      </c>
      <c r="H474" s="11">
        <v>0.80171051547627803</v>
      </c>
    </row>
    <row r="475" spans="1:8">
      <c r="A475" s="15">
        <f t="shared" si="28"/>
        <v>44348</v>
      </c>
      <c r="B475" s="10">
        <v>271.69600000000003</v>
      </c>
      <c r="C475" s="10">
        <f t="shared" si="29"/>
        <v>2.5010000000000332</v>
      </c>
      <c r="D475" s="16">
        <f t="shared" si="30"/>
        <v>0.92906629023571508</v>
      </c>
      <c r="G475" s="15">
        <f t="shared" si="31"/>
        <v>44348</v>
      </c>
      <c r="H475" s="11">
        <v>0.92906629023571508</v>
      </c>
    </row>
    <row r="476" spans="1:8">
      <c r="A476" s="15">
        <f t="shared" si="28"/>
        <v>44378</v>
      </c>
      <c r="B476" s="10">
        <v>273.00299999999999</v>
      </c>
      <c r="C476" s="10">
        <f t="shared" si="29"/>
        <v>1.3069999999999595</v>
      </c>
      <c r="D476" s="16">
        <f t="shared" si="30"/>
        <v>0.48105235262939439</v>
      </c>
      <c r="G476" s="15">
        <f t="shared" si="31"/>
        <v>44378</v>
      </c>
      <c r="H476" s="11">
        <v>0.48105235262939439</v>
      </c>
    </row>
    <row r="477" spans="1:8">
      <c r="A477" s="15">
        <f t="shared" si="28"/>
        <v>44409</v>
      </c>
      <c r="B477" s="10">
        <v>273.56700000000001</v>
      </c>
      <c r="C477" s="10">
        <f t="shared" si="29"/>
        <v>0.56400000000002137</v>
      </c>
      <c r="D477" s="16">
        <f t="shared" si="30"/>
        <v>0.20659113636114673</v>
      </c>
      <c r="G477" s="15">
        <f t="shared" si="31"/>
        <v>44409</v>
      </c>
      <c r="H477" s="11">
        <v>0.20659113636114673</v>
      </c>
    </row>
    <row r="478" spans="1:8">
      <c r="A478" s="15">
        <f t="shared" si="28"/>
        <v>44440</v>
      </c>
      <c r="B478" s="10">
        <v>274.31</v>
      </c>
      <c r="C478" s="10">
        <f t="shared" si="29"/>
        <v>0.742999999999995</v>
      </c>
      <c r="D478" s="16">
        <f t="shared" si="30"/>
        <v>0.27159708590582743</v>
      </c>
      <c r="G478" s="15">
        <f t="shared" si="31"/>
        <v>44440</v>
      </c>
      <c r="H478" s="11">
        <v>0.27159708590582743</v>
      </c>
    </row>
    <row r="479" spans="1:8">
      <c r="A479" s="15">
        <f t="shared" si="28"/>
        <v>44470</v>
      </c>
      <c r="B479" s="10">
        <v>276.589</v>
      </c>
      <c r="C479" s="10">
        <f t="shared" si="29"/>
        <v>2.2789999999999964</v>
      </c>
      <c r="D479" s="16">
        <f t="shared" si="30"/>
        <v>0.83081185520031942</v>
      </c>
      <c r="G479" s="15">
        <f t="shared" si="31"/>
        <v>44470</v>
      </c>
      <c r="H479" s="11">
        <v>0.83081185520031942</v>
      </c>
    </row>
    <row r="480" spans="1:8">
      <c r="A480" s="15">
        <f t="shared" si="28"/>
        <v>44501</v>
      </c>
      <c r="B480" s="10">
        <v>277.94799999999998</v>
      </c>
      <c r="C480" s="10">
        <f t="shared" si="29"/>
        <v>1.3589999999999804</v>
      </c>
      <c r="D480" s="16">
        <f t="shared" si="30"/>
        <v>0.49134275043475356</v>
      </c>
      <c r="G480" s="15">
        <f t="shared" si="31"/>
        <v>44501</v>
      </c>
      <c r="H480" s="11">
        <v>0.49134275043475356</v>
      </c>
    </row>
    <row r="481" spans="1:8">
      <c r="A481" s="15">
        <f t="shared" si="28"/>
        <v>44531</v>
      </c>
      <c r="B481" s="10">
        <v>278.80200000000002</v>
      </c>
      <c r="C481" s="10">
        <f t="shared" si="29"/>
        <v>0.85400000000004184</v>
      </c>
      <c r="D481" s="16">
        <f t="shared" si="30"/>
        <v>0.30725171614835939</v>
      </c>
      <c r="G481" s="15">
        <f t="shared" si="31"/>
        <v>44531</v>
      </c>
      <c r="H481" s="11">
        <v>0.30725171614835939</v>
      </c>
    </row>
    <row r="482" spans="1:8">
      <c r="A482" s="15">
        <f t="shared" si="28"/>
        <v>44562</v>
      </c>
      <c r="B482" s="10">
        <v>281.14800000000002</v>
      </c>
      <c r="C482" s="10">
        <f t="shared" si="29"/>
        <v>2.3460000000000036</v>
      </c>
      <c r="D482" s="16">
        <f t="shared" si="30"/>
        <v>0.84145737835453238</v>
      </c>
      <c r="G482" s="15">
        <f t="shared" si="31"/>
        <v>44562</v>
      </c>
      <c r="H482" s="11">
        <v>0.84145737835453238</v>
      </c>
    </row>
    <row r="483" spans="1:8">
      <c r="A483" s="15">
        <f t="shared" si="28"/>
        <v>44593</v>
      </c>
      <c r="B483" s="10">
        <v>283.71600000000001</v>
      </c>
      <c r="C483" s="10">
        <f t="shared" si="29"/>
        <v>2.5679999999999836</v>
      </c>
      <c r="D483" s="16">
        <f t="shared" si="30"/>
        <v>0.91339792564769562</v>
      </c>
      <c r="G483" s="15">
        <f t="shared" si="31"/>
        <v>44593</v>
      </c>
      <c r="H483" s="11">
        <v>0.91339792564769562</v>
      </c>
    </row>
    <row r="484" spans="1:8">
      <c r="A484" s="15">
        <f t="shared" si="28"/>
        <v>44621</v>
      </c>
      <c r="B484" s="10">
        <v>287.50400000000002</v>
      </c>
      <c r="C484" s="10">
        <f t="shared" si="29"/>
        <v>3.7880000000000109</v>
      </c>
      <c r="D484" s="16">
        <f t="shared" si="30"/>
        <v>1.3351379548562685</v>
      </c>
      <c r="G484" s="15">
        <f t="shared" si="31"/>
        <v>44621</v>
      </c>
      <c r="H484" s="11">
        <v>1.3351379548562685</v>
      </c>
    </row>
    <row r="485" spans="1:8">
      <c r="A485" s="15">
        <f t="shared" si="28"/>
        <v>44652</v>
      </c>
      <c r="B485" s="10">
        <v>289.10899999999998</v>
      </c>
      <c r="C485" s="10">
        <f t="shared" si="29"/>
        <v>1.6049999999999613</v>
      </c>
      <c r="D485" s="16">
        <f t="shared" si="30"/>
        <v>0.55825310256551597</v>
      </c>
      <c r="G485" s="15">
        <f t="shared" si="31"/>
        <v>44652</v>
      </c>
      <c r="H485" s="11">
        <v>0.55825310256551597</v>
      </c>
    </row>
    <row r="486" spans="1:8">
      <c r="A486" s="15">
        <f t="shared" si="28"/>
        <v>44682</v>
      </c>
      <c r="B486" s="10">
        <v>292.29599999999999</v>
      </c>
      <c r="C486" s="10">
        <f t="shared" si="29"/>
        <v>3.1870000000000118</v>
      </c>
      <c r="D486" s="16">
        <f t="shared" si="30"/>
        <v>1.1023523999598808</v>
      </c>
      <c r="G486" s="15">
        <f t="shared" si="31"/>
        <v>44682</v>
      </c>
      <c r="H486" s="11">
        <v>1.1023523999598808</v>
      </c>
    </row>
    <row r="487" spans="1:8">
      <c r="A487" s="15">
        <f t="shared" si="28"/>
        <v>44713</v>
      </c>
      <c r="B487" s="10">
        <v>296.31099999999998</v>
      </c>
      <c r="C487" s="10">
        <f t="shared" si="29"/>
        <v>4.0149999999999864</v>
      </c>
      <c r="D487" s="16">
        <f t="shared" si="30"/>
        <v>1.3736075758819779</v>
      </c>
      <c r="G487" s="15">
        <f t="shared" si="31"/>
        <v>44713</v>
      </c>
      <c r="H487" s="11">
        <v>1.3736075758819779</v>
      </c>
    </row>
    <row r="488" spans="1:8">
      <c r="A488" s="15">
        <f t="shared" si="28"/>
        <v>44743</v>
      </c>
      <c r="B488" s="10">
        <v>296.27600000000001</v>
      </c>
      <c r="C488" s="10">
        <f t="shared" si="29"/>
        <v>-3.4999999999968168E-2</v>
      </c>
      <c r="D488" s="16">
        <f t="shared" si="30"/>
        <v>-1.1811913833765257E-2</v>
      </c>
      <c r="G488" s="15">
        <f t="shared" si="31"/>
        <v>44743</v>
      </c>
      <c r="H488" s="11">
        <v>-1.1811913833765257E-2</v>
      </c>
    </row>
    <row r="489" spans="1:8">
      <c r="A489" s="15">
        <f t="shared" si="28"/>
        <v>44774</v>
      </c>
      <c r="B489" s="10">
        <v>296.17099999999999</v>
      </c>
      <c r="C489" s="10">
        <f t="shared" si="29"/>
        <v>-0.10500000000001819</v>
      </c>
      <c r="D489" s="16">
        <f t="shared" si="30"/>
        <v>-3.5439927635049141E-2</v>
      </c>
      <c r="G489" s="15">
        <f t="shared" si="31"/>
        <v>44774</v>
      </c>
      <c r="H489" s="11">
        <v>-3.5439927635049141E-2</v>
      </c>
    </row>
    <row r="490" spans="1:8">
      <c r="A490" s="15">
        <f t="shared" si="28"/>
        <v>44805</v>
      </c>
      <c r="B490" s="10">
        <v>296.80799999999999</v>
      </c>
      <c r="C490" s="10">
        <f t="shared" si="29"/>
        <v>0.63700000000000045</v>
      </c>
      <c r="D490" s="16">
        <f t="shared" si="30"/>
        <v>0.2150784513000937</v>
      </c>
      <c r="G490" s="15">
        <f t="shared" si="31"/>
        <v>44805</v>
      </c>
      <c r="H490" s="11">
        <v>0.2150784513000937</v>
      </c>
    </row>
    <row r="491" spans="1:8">
      <c r="A491" s="15">
        <f t="shared" si="28"/>
        <v>44835</v>
      </c>
      <c r="B491" s="10">
        <v>298.012</v>
      </c>
      <c r="C491" s="10">
        <f t="shared" si="29"/>
        <v>1.2040000000000077</v>
      </c>
      <c r="D491" s="16">
        <f t="shared" si="30"/>
        <v>0.40564944341123144</v>
      </c>
      <c r="G491" s="15">
        <f t="shared" si="31"/>
        <v>44835</v>
      </c>
      <c r="H491" s="11">
        <v>0.40564944341123144</v>
      </c>
    </row>
    <row r="492" spans="1:8">
      <c r="A492" s="15">
        <f t="shared" si="28"/>
        <v>44866</v>
      </c>
      <c r="B492" s="10">
        <v>297.71100000000001</v>
      </c>
      <c r="C492" s="10">
        <f t="shared" si="29"/>
        <v>-0.30099999999998772</v>
      </c>
      <c r="D492" s="16">
        <f t="shared" si="30"/>
        <v>-0.10100264418882049</v>
      </c>
      <c r="G492" s="15">
        <f t="shared" si="31"/>
        <v>44866</v>
      </c>
      <c r="H492" s="11">
        <v>-0.10100264418882049</v>
      </c>
    </row>
    <row r="493" spans="1:8">
      <c r="A493" s="15">
        <f t="shared" si="28"/>
        <v>44896</v>
      </c>
      <c r="B493" s="10">
        <v>296.79700000000003</v>
      </c>
      <c r="C493" s="10">
        <f t="shared" si="29"/>
        <v>-0.91399999999998727</v>
      </c>
      <c r="D493" s="16">
        <f t="shared" si="30"/>
        <v>-0.30700914645410721</v>
      </c>
      <c r="G493" s="15">
        <f t="shared" si="31"/>
        <v>44896</v>
      </c>
      <c r="H493" s="11">
        <v>-0.30700914645410721</v>
      </c>
    </row>
    <row r="494" spans="1:8">
      <c r="A494" s="15">
        <f t="shared" si="28"/>
        <v>44927</v>
      </c>
      <c r="B494" s="10">
        <v>299.17</v>
      </c>
      <c r="C494" s="10">
        <f t="shared" si="29"/>
        <v>2.3729999999999905</v>
      </c>
      <c r="D494" s="16">
        <f t="shared" si="30"/>
        <v>0.79953638345400746</v>
      </c>
      <c r="G494" s="15">
        <f t="shared" si="31"/>
        <v>44927</v>
      </c>
      <c r="H494" s="11">
        <v>0.79953638345400746</v>
      </c>
    </row>
    <row r="495" spans="1:8">
      <c r="A495" s="15">
        <f t="shared" si="28"/>
        <v>44958</v>
      </c>
      <c r="B495" s="10">
        <v>300.83999999999997</v>
      </c>
      <c r="C495" s="10">
        <f t="shared" si="29"/>
        <v>1.6699999999999591</v>
      </c>
      <c r="D495" s="16">
        <f t="shared" si="30"/>
        <v>0.55821105057323894</v>
      </c>
      <c r="G495" s="15">
        <f t="shared" si="31"/>
        <v>44958</v>
      </c>
      <c r="H495" s="11">
        <v>0.55821105057323894</v>
      </c>
    </row>
    <row r="496" spans="1:8">
      <c r="A496" s="15">
        <f t="shared" si="28"/>
        <v>44986</v>
      </c>
      <c r="B496" s="10">
        <v>301.83600000000001</v>
      </c>
      <c r="C496" s="10">
        <f t="shared" si="29"/>
        <v>0.99600000000003774</v>
      </c>
      <c r="D496" s="16">
        <f t="shared" si="30"/>
        <v>0.33107299561229819</v>
      </c>
      <c r="G496" s="15">
        <f t="shared" si="31"/>
        <v>44986</v>
      </c>
      <c r="H496" s="11">
        <v>0.33107299561229819</v>
      </c>
    </row>
    <row r="497" spans="1:8">
      <c r="A497" s="15">
        <f t="shared" si="28"/>
        <v>45017</v>
      </c>
      <c r="B497" s="10">
        <v>303.363</v>
      </c>
      <c r="C497" s="10">
        <f t="shared" si="29"/>
        <v>1.5269999999999868</v>
      </c>
      <c r="D497" s="16">
        <f t="shared" si="30"/>
        <v>0.50590386832584144</v>
      </c>
      <c r="G497" s="15">
        <f t="shared" si="31"/>
        <v>45017</v>
      </c>
      <c r="H497" s="11">
        <v>0.50590386832584144</v>
      </c>
    </row>
    <row r="498" spans="1:8">
      <c r="A498" s="15">
        <f t="shared" si="28"/>
        <v>45047</v>
      </c>
      <c r="B498" s="10">
        <v>304.12700000000001</v>
      </c>
      <c r="C498" s="10">
        <f t="shared" si="29"/>
        <v>0.76400000000001</v>
      </c>
      <c r="D498" s="16">
        <f t="shared" si="30"/>
        <v>0.25184350102023317</v>
      </c>
      <c r="G498" s="15">
        <f t="shared" si="31"/>
        <v>45047</v>
      </c>
      <c r="H498" s="11">
        <v>0.25184350102023317</v>
      </c>
    </row>
    <row r="499" spans="1:8">
      <c r="A499" s="15">
        <f t="shared" si="28"/>
        <v>45078</v>
      </c>
      <c r="B499" s="10">
        <v>305.10899999999998</v>
      </c>
      <c r="C499" s="10">
        <f t="shared" si="29"/>
        <v>0.9819999999999709</v>
      </c>
      <c r="D499" s="16">
        <f t="shared" si="30"/>
        <v>0.32289142364866352</v>
      </c>
      <c r="G499" s="15">
        <f t="shared" si="31"/>
        <v>45078</v>
      </c>
      <c r="H499" s="11">
        <v>0.32289142364866352</v>
      </c>
    </row>
    <row r="500" spans="1:8">
      <c r="A500" s="15">
        <f t="shared" si="28"/>
        <v>45108</v>
      </c>
      <c r="B500" s="10">
        <v>305.69099999999997</v>
      </c>
      <c r="C500" s="10">
        <f t="shared" si="29"/>
        <v>0.58199999999999363</v>
      </c>
      <c r="D500" s="16">
        <f t="shared" si="30"/>
        <v>0.19075150192226176</v>
      </c>
      <c r="G500" s="15">
        <f t="shared" si="31"/>
        <v>45108</v>
      </c>
      <c r="H500" s="11">
        <v>0.19075150192226176</v>
      </c>
    </row>
    <row r="501" spans="1:8">
      <c r="A501" s="15">
        <f t="shared" si="28"/>
        <v>45139</v>
      </c>
      <c r="B501" s="10">
        <v>307.02600000000001</v>
      </c>
      <c r="C501" s="10">
        <f t="shared" si="29"/>
        <v>1.3350000000000364</v>
      </c>
      <c r="D501" s="16">
        <f t="shared" si="30"/>
        <v>0.43671550683534566</v>
      </c>
      <c r="G501" s="15">
        <f t="shared" si="31"/>
        <v>45139</v>
      </c>
      <c r="H501" s="11">
        <v>0.43671550683534566</v>
      </c>
    </row>
    <row r="502" spans="1:8">
      <c r="A502" s="15">
        <f t="shared" si="28"/>
        <v>45170</v>
      </c>
      <c r="B502" s="10">
        <v>307.78899999999999</v>
      </c>
      <c r="C502" s="10">
        <f t="shared" si="29"/>
        <v>0.76299999999997681</v>
      </c>
      <c r="D502" s="16">
        <f t="shared" si="30"/>
        <v>0.2485131552376596</v>
      </c>
      <c r="G502" s="15">
        <f t="shared" si="31"/>
        <v>45170</v>
      </c>
      <c r="H502" s="11">
        <v>0.2485131552376596</v>
      </c>
    </row>
    <row r="503" spans="1:8">
      <c r="A503" s="15">
        <f t="shared" si="28"/>
        <v>45200</v>
      </c>
      <c r="B503" s="10">
        <v>307.67099999999999</v>
      </c>
      <c r="C503" s="10">
        <f t="shared" si="29"/>
        <v>-0.117999999999995</v>
      </c>
      <c r="D503" s="16">
        <f t="shared" si="30"/>
        <v>-3.8337952298488576E-2</v>
      </c>
      <c r="G503" s="15">
        <f t="shared" si="31"/>
        <v>45200</v>
      </c>
      <c r="H503" s="11">
        <v>-3.8337952298488576E-2</v>
      </c>
    </row>
    <row r="504" spans="1:8">
      <c r="A504" s="15">
        <f t="shared" si="28"/>
        <v>45231</v>
      </c>
      <c r="B504" s="10">
        <v>307.05099999999999</v>
      </c>
      <c r="C504" s="10">
        <f t="shared" si="29"/>
        <v>-0.62000000000000455</v>
      </c>
      <c r="D504" s="16">
        <f t="shared" si="30"/>
        <v>-0.20151395484137424</v>
      </c>
      <c r="G504" s="15">
        <f t="shared" si="31"/>
        <v>45231</v>
      </c>
      <c r="H504" s="11">
        <v>-0.20151395484137424</v>
      </c>
    </row>
    <row r="505" spans="1:8">
      <c r="A505" s="15">
        <f t="shared" si="28"/>
        <v>45261</v>
      </c>
      <c r="B505" s="10">
        <v>306.74599999999998</v>
      </c>
      <c r="C505" s="10">
        <f t="shared" si="29"/>
        <v>-0.30500000000000682</v>
      </c>
      <c r="D505" s="16">
        <f t="shared" si="30"/>
        <v>-9.9332032789343425E-2</v>
      </c>
      <c r="G505" s="15">
        <f t="shared" si="31"/>
        <v>45261</v>
      </c>
      <c r="H505" s="11">
        <v>-9.9332032789343425E-2</v>
      </c>
    </row>
    <row r="506" spans="1:8">
      <c r="A506" s="15">
        <f t="shared" si="28"/>
        <v>45292</v>
      </c>
      <c r="B506" s="10">
        <v>308.41699999999997</v>
      </c>
      <c r="C506" s="10">
        <f t="shared" si="29"/>
        <v>1.6709999999999923</v>
      </c>
      <c r="D506" s="16">
        <f t="shared" si="30"/>
        <v>0.54475037979305097</v>
      </c>
      <c r="G506" s="15">
        <f t="shared" si="31"/>
        <v>45292</v>
      </c>
      <c r="H506" s="11">
        <v>0.54475037979305097</v>
      </c>
    </row>
    <row r="507" spans="1:8">
      <c r="A507" s="15">
        <f t="shared" si="28"/>
        <v>45323</v>
      </c>
      <c r="B507" s="10">
        <v>310.32600000000002</v>
      </c>
      <c r="C507" s="10">
        <f t="shared" si="29"/>
        <v>1.9090000000000487</v>
      </c>
      <c r="D507" s="16">
        <f t="shared" si="30"/>
        <v>0.61896717755507924</v>
      </c>
      <c r="G507" s="15">
        <f t="shared" si="31"/>
        <v>45323</v>
      </c>
      <c r="H507" s="11">
        <v>0.61896717755507924</v>
      </c>
    </row>
    <row r="508" spans="1:8">
      <c r="A508" s="15">
        <f t="shared" si="28"/>
        <v>45352</v>
      </c>
      <c r="B508" s="10">
        <v>312.33199999999999</v>
      </c>
      <c r="C508" s="10">
        <f t="shared" si="29"/>
        <v>2.0059999999999718</v>
      </c>
      <c r="D508" s="16">
        <f t="shared" si="30"/>
        <v>0.64641699374205563</v>
      </c>
      <c r="G508" s="15">
        <f t="shared" si="31"/>
        <v>45352</v>
      </c>
      <c r="H508" s="11">
        <v>0.64641699374205563</v>
      </c>
    </row>
    <row r="509" spans="1:8">
      <c r="A509" s="15">
        <f t="shared" si="28"/>
        <v>45383</v>
      </c>
      <c r="B509" s="10">
        <v>313.548</v>
      </c>
      <c r="C509" s="10">
        <f t="shared" si="29"/>
        <v>1.2160000000000082</v>
      </c>
      <c r="D509" s="16">
        <f t="shared" si="30"/>
        <v>0.38932930343352851</v>
      </c>
      <c r="G509" s="15">
        <f t="shared" si="31"/>
        <v>45383</v>
      </c>
      <c r="H509" s="11">
        <v>0.38932930343352851</v>
      </c>
    </row>
    <row r="510" spans="1:8">
      <c r="A510" s="15">
        <f t="shared" si="28"/>
        <v>45413</v>
      </c>
      <c r="B510" s="10">
        <v>314.06900000000002</v>
      </c>
      <c r="C510" s="10">
        <f t="shared" si="29"/>
        <v>0.52100000000001501</v>
      </c>
      <c r="D510" s="16">
        <f t="shared" si="30"/>
        <v>0.16616275657953966</v>
      </c>
      <c r="G510" s="15">
        <f t="shared" si="31"/>
        <v>45413</v>
      </c>
      <c r="H510" s="11">
        <v>0.16616275657953966</v>
      </c>
    </row>
    <row r="511" spans="1:8">
      <c r="A511" s="15">
        <f t="shared" si="28"/>
        <v>45444</v>
      </c>
      <c r="B511" s="10">
        <v>314.17500000000001</v>
      </c>
      <c r="C511" s="10">
        <f t="shared" si="29"/>
        <v>0.10599999999999454</v>
      </c>
      <c r="D511" s="16">
        <f t="shared" si="30"/>
        <v>3.3750545262345069E-2</v>
      </c>
      <c r="G511" s="15">
        <f t="shared" si="31"/>
        <v>45444</v>
      </c>
      <c r="H511" s="11">
        <v>3.3750545262345069E-2</v>
      </c>
    </row>
    <row r="512" spans="1:8">
      <c r="A512" s="15">
        <f t="shared" si="28"/>
        <v>45474</v>
      </c>
      <c r="B512" s="10">
        <v>314.54000000000002</v>
      </c>
      <c r="C512" s="10">
        <f t="shared" si="29"/>
        <v>0.36500000000000909</v>
      </c>
      <c r="D512" s="16">
        <f t="shared" si="30"/>
        <v>0.11617728972706583</v>
      </c>
      <c r="G512" s="15">
        <f t="shared" si="31"/>
        <v>45474</v>
      </c>
      <c r="H512" s="11">
        <v>0.11617728972706583</v>
      </c>
    </row>
    <row r="513" spans="1:8">
      <c r="A513" s="15">
        <f t="shared" si="28"/>
        <v>45505</v>
      </c>
      <c r="B513" s="10">
        <v>314.79599999999999</v>
      </c>
      <c r="C513" s="10">
        <f t="shared" si="29"/>
        <v>0.25599999999997181</v>
      </c>
      <c r="D513" s="16">
        <f t="shared" si="30"/>
        <v>8.138869460163152E-2</v>
      </c>
      <c r="G513" s="15">
        <f t="shared" si="31"/>
        <v>45505</v>
      </c>
      <c r="H513" s="11">
        <v>8.138869460163152E-2</v>
      </c>
    </row>
    <row r="514" spans="1:8">
      <c r="A514" s="15">
        <f t="shared" si="28"/>
        <v>45536</v>
      </c>
      <c r="B514" s="10">
        <v>315.30099999999999</v>
      </c>
      <c r="C514" s="10">
        <f t="shared" si="29"/>
        <v>0.50499999999999545</v>
      </c>
      <c r="D514" s="16">
        <f t="shared" si="30"/>
        <v>0.16042135224081483</v>
      </c>
      <c r="G514" s="15">
        <f t="shared" si="31"/>
        <v>45536</v>
      </c>
      <c r="H514" s="11">
        <v>0.16042135224081483</v>
      </c>
    </row>
    <row r="515" spans="1:8">
      <c r="A515" s="15">
        <f t="shared" si="28"/>
        <v>45566</v>
      </c>
      <c r="B515" s="10">
        <v>315.66399999999999</v>
      </c>
      <c r="C515" s="10">
        <f t="shared" si="29"/>
        <v>0.36299999999999955</v>
      </c>
      <c r="D515" s="16">
        <f t="shared" si="30"/>
        <v>0.11512808395786869</v>
      </c>
      <c r="G515" s="15">
        <f t="shared" si="31"/>
        <v>45566</v>
      </c>
      <c r="H515" s="11">
        <v>0.11512808395786869</v>
      </c>
    </row>
    <row r="516" spans="1:8">
      <c r="A516" s="15">
        <f t="shared" ref="A516:A541" si="32">EDATE(A515,1)</f>
        <v>45597</v>
      </c>
      <c r="B516" s="10">
        <v>315.49299999999999</v>
      </c>
      <c r="C516" s="10">
        <f t="shared" ref="C516:C541" si="33">B516-B515</f>
        <v>-0.17099999999999227</v>
      </c>
      <c r="D516" s="16">
        <f t="shared" ref="D516:D541" si="34">(B516-B515)/B515*100</f>
        <v>-5.4171524152260717E-2</v>
      </c>
      <c r="G516" s="15">
        <f t="shared" ref="G516:G541" si="35">EDATE(G515,1)</f>
        <v>45597</v>
      </c>
      <c r="H516" s="11">
        <v>-5.4171524152260717E-2</v>
      </c>
    </row>
    <row r="517" spans="1:8">
      <c r="A517" s="15">
        <f t="shared" si="32"/>
        <v>45627</v>
      </c>
      <c r="B517" s="10">
        <v>315.60500000000002</v>
      </c>
      <c r="C517" s="10">
        <f t="shared" si="33"/>
        <v>0.11200000000002319</v>
      </c>
      <c r="D517" s="16">
        <f t="shared" si="34"/>
        <v>3.5499995245543703E-2</v>
      </c>
      <c r="G517" s="15">
        <f t="shared" si="35"/>
        <v>45627</v>
      </c>
      <c r="H517" s="11">
        <v>3.5499995245543703E-2</v>
      </c>
    </row>
    <row r="518" spans="1:8">
      <c r="A518" s="15">
        <f t="shared" si="32"/>
        <v>45658</v>
      </c>
      <c r="B518" s="10">
        <v>317.67099999999999</v>
      </c>
      <c r="C518" s="10">
        <f t="shared" si="33"/>
        <v>2.0659999999999741</v>
      </c>
      <c r="D518" s="16">
        <f t="shared" si="34"/>
        <v>0.65461573802695583</v>
      </c>
      <c r="G518" s="15">
        <f t="shared" si="35"/>
        <v>45658</v>
      </c>
      <c r="H518" s="11">
        <v>0.65461573802695583</v>
      </c>
    </row>
    <row r="519" spans="1:8">
      <c r="A519" s="15">
        <f t="shared" si="32"/>
        <v>45689</v>
      </c>
      <c r="B519" s="10">
        <v>319.08199999999999</v>
      </c>
      <c r="C519" s="10">
        <f t="shared" si="33"/>
        <v>1.4110000000000014</v>
      </c>
      <c r="D519" s="16">
        <f t="shared" si="34"/>
        <v>0.44417022642923065</v>
      </c>
      <c r="G519" s="15">
        <f t="shared" si="35"/>
        <v>45689</v>
      </c>
      <c r="H519" s="11">
        <v>0.44417022642923065</v>
      </c>
    </row>
    <row r="520" spans="1:8">
      <c r="A520" s="15">
        <f t="shared" si="32"/>
        <v>45717</v>
      </c>
      <c r="B520" s="10">
        <v>319.79899999999998</v>
      </c>
      <c r="C520" s="10">
        <f t="shared" si="33"/>
        <v>0.71699999999998454</v>
      </c>
      <c r="D520" s="16">
        <f t="shared" si="34"/>
        <v>0.22470712857509495</v>
      </c>
      <c r="G520" s="15">
        <f t="shared" si="35"/>
        <v>45717</v>
      </c>
      <c r="H520" s="11">
        <v>0.22470712857509495</v>
      </c>
    </row>
    <row r="521" spans="1:8">
      <c r="A521" s="15">
        <f t="shared" si="32"/>
        <v>45748</v>
      </c>
      <c r="B521" s="10">
        <v>320.79500000000002</v>
      </c>
      <c r="C521" s="10">
        <f t="shared" si="33"/>
        <v>0.99600000000003774</v>
      </c>
      <c r="D521" s="16">
        <f t="shared" si="34"/>
        <v>0.31144562678433574</v>
      </c>
      <c r="G521" s="15">
        <f t="shared" si="35"/>
        <v>45748</v>
      </c>
      <c r="H521" s="11">
        <v>0.31144562678433574</v>
      </c>
    </row>
    <row r="522" spans="1:8">
      <c r="A522" s="15">
        <f t="shared" si="32"/>
        <v>45778</v>
      </c>
      <c r="B522" s="10">
        <v>321.46499999999997</v>
      </c>
      <c r="C522" s="10">
        <f t="shared" si="33"/>
        <v>0.66999999999995907</v>
      </c>
      <c r="D522" s="16">
        <f t="shared" si="34"/>
        <v>0.20885612306923707</v>
      </c>
      <c r="G522" s="15">
        <f t="shared" si="35"/>
        <v>45778</v>
      </c>
      <c r="H522" s="11">
        <v>0.20885612306923707</v>
      </c>
    </row>
    <row r="523" spans="1:8">
      <c r="A523" s="15">
        <f t="shared" si="32"/>
        <v>45809</v>
      </c>
      <c r="B523" s="10">
        <v>322.56099999999998</v>
      </c>
      <c r="C523" s="10">
        <f t="shared" si="33"/>
        <v>1.0960000000000036</v>
      </c>
      <c r="D523" s="16">
        <f t="shared" si="34"/>
        <v>0.3409391380088046</v>
      </c>
      <c r="G523" s="15">
        <f t="shared" si="35"/>
        <v>45809</v>
      </c>
      <c r="H523" s="11">
        <v>0.3409391380088046</v>
      </c>
    </row>
    <row r="524" spans="1:8">
      <c r="A524" s="15">
        <f t="shared" si="32"/>
        <v>45839</v>
      </c>
      <c r="B524" s="10">
        <v>323.048</v>
      </c>
      <c r="C524" s="10">
        <f t="shared" si="33"/>
        <v>0.48700000000002319</v>
      </c>
      <c r="D524" s="16">
        <f t="shared" si="34"/>
        <v>0.15097919463296036</v>
      </c>
      <c r="G524" s="15">
        <f t="shared" si="35"/>
        <v>45839</v>
      </c>
      <c r="H524" s="11">
        <v>0.15097919463296036</v>
      </c>
    </row>
    <row r="525" spans="1:8">
      <c r="A525" s="15">
        <f t="shared" si="32"/>
        <v>45870</v>
      </c>
      <c r="B525" s="10">
        <v>323.976</v>
      </c>
      <c r="C525" s="10">
        <f t="shared" si="33"/>
        <v>0.92799999999999727</v>
      </c>
      <c r="D525" s="16">
        <f t="shared" si="34"/>
        <v>0.28726381218889985</v>
      </c>
      <c r="G525" s="15">
        <f t="shared" si="35"/>
        <v>45870</v>
      </c>
      <c r="H525" s="11">
        <v>0.28726381218889985</v>
      </c>
    </row>
    <row r="526" spans="1:8">
      <c r="A526" s="15">
        <f t="shared" si="32"/>
        <v>45901</v>
      </c>
      <c r="B526" s="10">
        <v>324.8</v>
      </c>
      <c r="C526" s="10">
        <f t="shared" si="33"/>
        <v>0.82400000000001228</v>
      </c>
      <c r="D526" s="16">
        <f t="shared" si="34"/>
        <v>0.25433982764155749</v>
      </c>
      <c r="G526" s="15">
        <f t="shared" si="35"/>
        <v>45901</v>
      </c>
      <c r="H526" s="11">
        <v>0.25433982764155749</v>
      </c>
    </row>
    <row r="527" spans="1:8">
      <c r="A527" s="15">
        <f t="shared" si="32"/>
        <v>45931</v>
      </c>
      <c r="C527" s="10"/>
      <c r="D527" s="16"/>
      <c r="G527" s="15">
        <f t="shared" si="35"/>
        <v>45931</v>
      </c>
    </row>
    <row r="528" spans="1:8">
      <c r="A528" s="15">
        <f t="shared" si="32"/>
        <v>45962</v>
      </c>
      <c r="B528" s="10">
        <v>324.12200000000001</v>
      </c>
      <c r="C528" s="10"/>
      <c r="D528" s="16">
        <v>0</v>
      </c>
      <c r="G528" s="15">
        <f t="shared" si="35"/>
        <v>45962</v>
      </c>
      <c r="H528">
        <v>0</v>
      </c>
    </row>
    <row r="529" spans="1:8">
      <c r="A529" s="15">
        <f t="shared" si="32"/>
        <v>45992</v>
      </c>
      <c r="B529" s="10">
        <v>324.05399999999997</v>
      </c>
      <c r="C529" s="10">
        <f t="shared" si="33"/>
        <v>-6.8000000000040473E-2</v>
      </c>
      <c r="D529" s="16">
        <f t="shared" si="34"/>
        <v>-2.0979754536884405E-2</v>
      </c>
      <c r="G529" s="15">
        <f t="shared" si="35"/>
        <v>45992</v>
      </c>
      <c r="H529" s="11">
        <v>-2.0979754536884405E-2</v>
      </c>
    </row>
    <row r="530" spans="1:8">
      <c r="A530" s="15">
        <f t="shared" si="32"/>
        <v>46023</v>
      </c>
      <c r="B530" s="10">
        <v>325.25200000000001</v>
      </c>
      <c r="C530" s="10">
        <f t="shared" si="33"/>
        <v>1.1980000000000359</v>
      </c>
      <c r="D530" s="16">
        <f t="shared" si="34"/>
        <v>0.36969147117456846</v>
      </c>
      <c r="G530" s="15">
        <f t="shared" si="35"/>
        <v>46023</v>
      </c>
      <c r="H530" s="11">
        <v>0.36969147117456846</v>
      </c>
    </row>
    <row r="531" spans="1:8">
      <c r="A531" s="15">
        <f t="shared" si="32"/>
        <v>46054</v>
      </c>
      <c r="B531" s="10">
        <v>326.78500000000003</v>
      </c>
      <c r="C531" s="10">
        <f t="shared" si="33"/>
        <v>1.5330000000000155</v>
      </c>
      <c r="D531" s="16">
        <f t="shared" si="34"/>
        <v>0.47132684810547376</v>
      </c>
      <c r="G531" s="15">
        <f t="shared" si="35"/>
        <v>46054</v>
      </c>
      <c r="H531" s="11">
        <v>0.47132684810547376</v>
      </c>
    </row>
    <row r="532" spans="1:8">
      <c r="A532" s="15">
        <f t="shared" si="32"/>
        <v>46082</v>
      </c>
      <c r="B532" s="10">
        <v>330.21300000000002</v>
      </c>
      <c r="C532" s="10">
        <f t="shared" si="33"/>
        <v>3.4279999999999973</v>
      </c>
      <c r="D532" s="16">
        <f t="shared" si="34"/>
        <v>1.0490077573940044</v>
      </c>
      <c r="G532" s="15">
        <f t="shared" si="35"/>
        <v>46082</v>
      </c>
      <c r="H532" s="11">
        <v>1.0490077573940044</v>
      </c>
    </row>
    <row r="533" spans="1:8">
      <c r="A533" s="15">
        <f t="shared" si="32"/>
        <v>46113</v>
      </c>
      <c r="B533" s="10">
        <v>333.02</v>
      </c>
      <c r="C533" s="10">
        <f t="shared" si="33"/>
        <v>2.8069999999999595</v>
      </c>
      <c r="D533" s="16">
        <f t="shared" si="34"/>
        <v>0.85005738720158175</v>
      </c>
      <c r="G533" s="15">
        <f t="shared" si="35"/>
        <v>46113</v>
      </c>
      <c r="H533" s="11">
        <v>0.85005738720158175</v>
      </c>
    </row>
    <row r="534" spans="1:8">
      <c r="A534" s="15">
        <f t="shared" si="32"/>
        <v>46143</v>
      </c>
      <c r="B534" s="10">
        <v>335.12299999999999</v>
      </c>
      <c r="C534" s="10">
        <f t="shared" si="33"/>
        <v>2.1030000000000086</v>
      </c>
      <c r="D534" s="16">
        <f t="shared" si="34"/>
        <v>0.63149360398775112</v>
      </c>
      <c r="G534" s="15">
        <f t="shared" si="35"/>
        <v>46143</v>
      </c>
      <c r="H534" s="11">
        <v>0.63149360398775112</v>
      </c>
    </row>
    <row r="535" spans="1:8">
      <c r="A535" s="15">
        <f t="shared" si="32"/>
        <v>46174</v>
      </c>
      <c r="B535" s="10">
        <v>333.952</v>
      </c>
      <c r="C535" s="10">
        <f t="shared" si="33"/>
        <v>-1.1709999999999923</v>
      </c>
      <c r="D535" s="16">
        <f t="shared" si="34"/>
        <v>-0.34942394285083156</v>
      </c>
      <c r="G535" s="15">
        <f t="shared" si="35"/>
        <v>46174</v>
      </c>
      <c r="H535" s="11">
        <v>-0.34942394285083156</v>
      </c>
    </row>
    <row r="536" spans="1:8">
      <c r="A536" s="15">
        <f t="shared" si="32"/>
        <v>46204</v>
      </c>
      <c r="B536" s="10">
        <v>333.91800000000001</v>
      </c>
      <c r="C536" s="10">
        <f t="shared" si="33"/>
        <v>-3.3999999999991815E-2</v>
      </c>
      <c r="D536" s="16">
        <f t="shared" si="34"/>
        <v>-1.0181103871212575E-2</v>
      </c>
      <c r="G536" s="15">
        <f t="shared" si="35"/>
        <v>46204</v>
      </c>
      <c r="H536" s="11">
        <v>-1.0181103871212575E-2</v>
      </c>
    </row>
    <row r="537" spans="1:8">
      <c r="A537" s="15">
        <f t="shared" si="32"/>
        <v>46235</v>
      </c>
      <c r="B537" s="10">
        <v>334.98</v>
      </c>
      <c r="C537" s="10">
        <f t="shared" si="33"/>
        <v>1.0620000000000118</v>
      </c>
      <c r="D537" s="16">
        <f t="shared" si="34"/>
        <v>0.31804215406177921</v>
      </c>
      <c r="G537" s="15">
        <f t="shared" si="35"/>
        <v>46235</v>
      </c>
      <c r="H537" s="11">
        <v>0.31804215406177921</v>
      </c>
    </row>
    <row r="538" spans="1:8">
      <c r="A538" s="15">
        <f t="shared" si="32"/>
        <v>46266</v>
      </c>
      <c r="C538" s="10"/>
      <c r="D538" s="16"/>
      <c r="G538" s="15">
        <f t="shared" si="35"/>
        <v>46266</v>
      </c>
    </row>
    <row r="539" spans="1:8">
      <c r="A539" s="15">
        <f t="shared" si="32"/>
        <v>46296</v>
      </c>
      <c r="C539" s="10"/>
      <c r="D539" s="16"/>
      <c r="G539" s="15">
        <f t="shared" si="35"/>
        <v>46296</v>
      </c>
    </row>
    <row r="540" spans="1:8">
      <c r="A540" s="15">
        <f t="shared" si="32"/>
        <v>46327</v>
      </c>
      <c r="C540" s="10"/>
      <c r="D540" s="16"/>
      <c r="G540" s="15">
        <f t="shared" si="35"/>
        <v>46327</v>
      </c>
    </row>
    <row r="541" spans="1:8">
      <c r="A541" s="15">
        <f t="shared" si="32"/>
        <v>46357</v>
      </c>
      <c r="C541" s="10"/>
      <c r="D541" s="16"/>
      <c r="G541" s="15">
        <f t="shared" si="35"/>
        <v>46357</v>
      </c>
    </row>
    <row r="542" spans="1:8">
      <c r="A542" s="15"/>
      <c r="G542" s="15"/>
    </row>
    <row r="543" spans="1:8">
      <c r="A543" s="15"/>
      <c r="G543" s="15"/>
    </row>
    <row r="544" spans="1:8">
      <c r="A544" s="15"/>
      <c r="G544" s="15"/>
    </row>
    <row r="545" spans="1:7">
      <c r="A545" s="15"/>
      <c r="G545" s="15"/>
    </row>
    <row r="546" spans="1:7">
      <c r="A546" s="15"/>
      <c r="G546" s="15"/>
    </row>
    <row r="547" spans="1:7">
      <c r="A547" s="15"/>
      <c r="G547" s="15"/>
    </row>
    <row r="548" spans="1:7">
      <c r="A548" s="15"/>
      <c r="G548" s="15"/>
    </row>
    <row r="549" spans="1:7">
      <c r="A549" s="15"/>
      <c r="G549" s="15"/>
    </row>
    <row r="550" spans="1:7">
      <c r="A550" s="15"/>
      <c r="G550" s="15"/>
    </row>
    <row r="551" spans="1:7">
      <c r="A551" s="15"/>
      <c r="G551" s="15"/>
    </row>
    <row r="552" spans="1:7">
      <c r="A552" s="15"/>
      <c r="G552" s="15"/>
    </row>
    <row r="553" spans="1:7">
      <c r="A553" s="15"/>
      <c r="G553" s="15"/>
    </row>
    <row r="554" spans="1:7">
      <c r="A554" s="15"/>
      <c r="G554" s="15"/>
    </row>
    <row r="555" spans="1:7">
      <c r="A555" s="15"/>
      <c r="G555" s="15"/>
    </row>
    <row r="556" spans="1:7">
      <c r="A556" s="15"/>
      <c r="G556" s="15"/>
    </row>
    <row r="557" spans="1:7">
      <c r="A557" s="15"/>
      <c r="G557" s="15"/>
    </row>
    <row r="558" spans="1:7">
      <c r="A558" s="15"/>
      <c r="G558" s="15"/>
    </row>
    <row r="559" spans="1:7">
      <c r="A559" s="15"/>
      <c r="G559" s="15"/>
    </row>
    <row r="560" spans="1:7">
      <c r="A560" s="15"/>
      <c r="G560" s="15"/>
    </row>
    <row r="561" spans="1:7">
      <c r="A561" s="15"/>
      <c r="G561" s="15"/>
    </row>
    <row r="562" spans="1:7">
      <c r="A562" s="15"/>
      <c r="G562" s="15"/>
    </row>
    <row r="563" spans="1:7">
      <c r="A563" s="15"/>
      <c r="G563" s="15"/>
    </row>
    <row r="564" spans="1:7">
      <c r="A564" s="15"/>
      <c r="G564" s="15"/>
    </row>
    <row r="565" spans="1:7">
      <c r="A565" s="15"/>
      <c r="G565" s="15"/>
    </row>
    <row r="566" spans="1:7">
      <c r="A566" s="15"/>
      <c r="G566" s="15"/>
    </row>
    <row r="567" spans="1:7">
      <c r="A567" s="15"/>
      <c r="G567" s="15"/>
    </row>
    <row r="568" spans="1:7">
      <c r="A568" s="15"/>
      <c r="G568" s="15"/>
    </row>
    <row r="569" spans="1:7">
      <c r="A569" s="15"/>
      <c r="G569" s="15"/>
    </row>
    <row r="570" spans="1:7">
      <c r="A570" s="15"/>
      <c r="G570" s="15"/>
    </row>
    <row r="571" spans="1:7">
      <c r="A571" s="15"/>
      <c r="G571" s="15"/>
    </row>
    <row r="572" spans="1:7">
      <c r="A572" s="15"/>
      <c r="G572" s="15"/>
    </row>
    <row r="573" spans="1:7">
      <c r="A573" s="15"/>
      <c r="G573" s="15"/>
    </row>
    <row r="574" spans="1:7">
      <c r="A574" s="15"/>
      <c r="G574" s="15"/>
    </row>
    <row r="575" spans="1:7">
      <c r="A575" s="15"/>
      <c r="G575" s="15"/>
    </row>
    <row r="576" spans="1:7">
      <c r="A576" s="15"/>
      <c r="G576" s="15"/>
    </row>
    <row r="577" spans="1:7">
      <c r="A577" s="15"/>
      <c r="G577" s="15"/>
    </row>
    <row r="578" spans="1:7">
      <c r="A578" s="15"/>
      <c r="G578" s="15"/>
    </row>
    <row r="579" spans="1:7">
      <c r="A579" s="15"/>
      <c r="G579" s="15"/>
    </row>
    <row r="580" spans="1:7">
      <c r="A580" s="15"/>
      <c r="G580" s="15"/>
    </row>
    <row r="581" spans="1:7">
      <c r="A581" s="15"/>
      <c r="G581" s="15"/>
    </row>
    <row r="582" spans="1:7">
      <c r="A582" s="15"/>
      <c r="G582" s="15"/>
    </row>
    <row r="583" spans="1:7">
      <c r="A583" s="15"/>
      <c r="G583" s="15"/>
    </row>
    <row r="584" spans="1:7">
      <c r="A584" s="15"/>
      <c r="G584" s="15"/>
    </row>
    <row r="585" spans="1:7">
      <c r="A585" s="15"/>
      <c r="G585" s="15"/>
    </row>
    <row r="586" spans="1:7">
      <c r="A586" s="15"/>
      <c r="G586" s="15"/>
    </row>
    <row r="587" spans="1:7">
      <c r="A587" s="15"/>
      <c r="G587" s="15"/>
    </row>
    <row r="588" spans="1:7">
      <c r="A588" s="15"/>
      <c r="G588" s="15"/>
    </row>
    <row r="589" spans="1:7">
      <c r="A589" s="15"/>
      <c r="G589" s="15"/>
    </row>
    <row r="590" spans="1:7">
      <c r="A590" s="15"/>
      <c r="G590" s="15"/>
    </row>
    <row r="591" spans="1:7">
      <c r="A591" s="15"/>
      <c r="G591" s="15"/>
    </row>
    <row r="592" spans="1:7">
      <c r="A592" s="15"/>
      <c r="G592" s="15"/>
    </row>
    <row r="593" spans="1:7">
      <c r="A593" s="15"/>
      <c r="G593" s="15"/>
    </row>
    <row r="594" spans="1:7">
      <c r="A594" s="15"/>
      <c r="G594" s="15"/>
    </row>
    <row r="595" spans="1:7">
      <c r="A595" s="15"/>
      <c r="G595" s="15"/>
    </row>
    <row r="596" spans="1:7">
      <c r="A596" s="15"/>
      <c r="G596" s="15"/>
    </row>
    <row r="597" spans="1:7">
      <c r="A597" s="15"/>
      <c r="G597" s="15"/>
    </row>
    <row r="598" spans="1:7">
      <c r="A598" s="15"/>
      <c r="G598" s="15"/>
    </row>
    <row r="599" spans="1:7">
      <c r="A599" s="15"/>
      <c r="G599" s="15"/>
    </row>
    <row r="600" spans="1:7">
      <c r="A600" s="15"/>
      <c r="G600" s="15"/>
    </row>
    <row r="601" spans="1:7">
      <c r="A601" s="15"/>
      <c r="G601" s="15"/>
    </row>
    <row r="602" spans="1:7">
      <c r="A602" s="15"/>
      <c r="G602" s="15"/>
    </row>
    <row r="603" spans="1:7">
      <c r="A603" s="15"/>
      <c r="G603" s="15"/>
    </row>
    <row r="604" spans="1:7">
      <c r="A604" s="15"/>
      <c r="G604" s="15"/>
    </row>
    <row r="605" spans="1:7">
      <c r="A605" s="15"/>
      <c r="G605" s="15"/>
    </row>
    <row r="606" spans="1:7">
      <c r="A606" s="15"/>
      <c r="G606" s="15"/>
    </row>
    <row r="607" spans="1:7">
      <c r="A607" s="15"/>
      <c r="G607" s="15"/>
    </row>
    <row r="608" spans="1:7">
      <c r="A608" s="15"/>
      <c r="G608" s="15"/>
    </row>
    <row r="609" spans="1:7">
      <c r="A609" s="15"/>
      <c r="G609" s="15"/>
    </row>
    <row r="610" spans="1:7">
      <c r="A610" s="15"/>
      <c r="G610" s="15"/>
    </row>
    <row r="611" spans="1:7">
      <c r="A611" s="15"/>
      <c r="G611" s="15"/>
    </row>
    <row r="612" spans="1:7">
      <c r="A612" s="15"/>
      <c r="G612" s="15"/>
    </row>
    <row r="613" spans="1:7">
      <c r="A613" s="15"/>
      <c r="G613" s="15"/>
    </row>
    <row r="614" spans="1:7">
      <c r="A614" s="15"/>
      <c r="G614" s="15"/>
    </row>
    <row r="615" spans="1:7">
      <c r="A615" s="15"/>
      <c r="G615" s="15"/>
    </row>
    <row r="616" spans="1:7">
      <c r="A616" s="15"/>
      <c r="G616" s="15"/>
    </row>
    <row r="617" spans="1:7">
      <c r="A617" s="15"/>
      <c r="G617" s="15"/>
    </row>
    <row r="618" spans="1:7">
      <c r="A618" s="15"/>
      <c r="G618" s="15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83C4-2050-47F4-981A-483BA86C1018}">
  <dimension ref="A1:S618"/>
  <sheetViews>
    <sheetView workbookViewId="0">
      <selection activeCell="Q4" sqref="Q4"/>
    </sheetView>
  </sheetViews>
  <sheetFormatPr defaultRowHeight="14.45"/>
  <cols>
    <col min="1" max="1" width="13.5703125" customWidth="1"/>
    <col min="4" max="4" width="16.140625" bestFit="1" customWidth="1"/>
    <col min="6" max="6" width="25.28515625" bestFit="1" customWidth="1"/>
  </cols>
  <sheetData>
    <row r="1" spans="1:19">
      <c r="A1" t="s">
        <v>4</v>
      </c>
      <c r="B1" t="s">
        <v>163</v>
      </c>
      <c r="C1" t="s">
        <v>168</v>
      </c>
      <c r="D1" t="s">
        <v>169</v>
      </c>
      <c r="E1" t="s">
        <v>170</v>
      </c>
      <c r="F1" t="s">
        <v>171</v>
      </c>
      <c r="H1" t="s">
        <v>172</v>
      </c>
      <c r="Q1" t="s">
        <v>173</v>
      </c>
      <c r="R1" t="s">
        <v>174</v>
      </c>
      <c r="S1" t="s">
        <v>175</v>
      </c>
    </row>
    <row r="2" spans="1:19">
      <c r="A2" s="15">
        <v>29952</v>
      </c>
      <c r="C2" s="11">
        <f>AVERAGE($B$2:$B$541)</f>
        <v>0.23858560535900958</v>
      </c>
      <c r="D2" s="11">
        <f>_xlfn.STDEV.S($B$2:$B$541)</f>
        <v>0.3276315813357526</v>
      </c>
      <c r="E2" s="11">
        <f>(B2-C2)/D2</f>
        <v>-0.72821308735347512</v>
      </c>
      <c r="F2" s="15">
        <v>39722</v>
      </c>
      <c r="G2" t="s">
        <v>174</v>
      </c>
      <c r="H2" t="s">
        <v>176</v>
      </c>
      <c r="R2" s="12">
        <f>$C$2-1.96*($D$2/SQRT(580))</f>
        <v>0.21192144990948772</v>
      </c>
      <c r="S2" s="12">
        <f>$C$2+1.96*($D$2/SQRT(580))</f>
        <v>0.26524976080853147</v>
      </c>
    </row>
    <row r="3" spans="1:19">
      <c r="A3" s="15">
        <f>EDATE(A2,1)</f>
        <v>29983</v>
      </c>
      <c r="B3" s="11">
        <v>0.318133616118767</v>
      </c>
      <c r="C3" s="11">
        <f t="shared" ref="C3:C66" si="0">AVERAGE($B$2:$B$541)</f>
        <v>0.23858560535900958</v>
      </c>
      <c r="D3" s="11">
        <f t="shared" ref="D3:D66" si="1">_xlfn.STDEV.S($B$2:$B$541)</f>
        <v>0.3276315813357526</v>
      </c>
      <c r="E3" s="11">
        <f t="shared" ref="E3:E66" si="2">(B3-C3)/D3</f>
        <v>0.24279713950480755</v>
      </c>
      <c r="F3" s="15">
        <v>39753</v>
      </c>
      <c r="G3" t="s">
        <v>174</v>
      </c>
      <c r="Q3" t="s">
        <v>177</v>
      </c>
    </row>
    <row r="4" spans="1:19">
      <c r="A4" s="15">
        <f t="shared" ref="A4:A67" si="3">EDATE(A3,1)</f>
        <v>30011</v>
      </c>
      <c r="B4" s="11">
        <v>-0.10570824524312296</v>
      </c>
      <c r="C4" s="11">
        <f t="shared" si="0"/>
        <v>0.23858560535900958</v>
      </c>
      <c r="D4" s="11">
        <f t="shared" si="1"/>
        <v>0.3276315813357526</v>
      </c>
      <c r="E4" s="11">
        <f t="shared" si="2"/>
        <v>-1.050856725100944</v>
      </c>
      <c r="F4" s="15">
        <v>39783</v>
      </c>
      <c r="G4" t="s">
        <v>174</v>
      </c>
    </row>
    <row r="5" spans="1:19">
      <c r="A5" s="15">
        <f t="shared" si="3"/>
        <v>30042</v>
      </c>
      <c r="B5" s="11">
        <v>0.42328042328042931</v>
      </c>
      <c r="C5" s="11">
        <f t="shared" si="0"/>
        <v>0.23858560535900958</v>
      </c>
      <c r="D5" s="11">
        <f t="shared" si="1"/>
        <v>0.3276315813357526</v>
      </c>
      <c r="E5" s="11">
        <f t="shared" si="2"/>
        <v>0.56372715099203718</v>
      </c>
    </row>
    <row r="6" spans="1:19">
      <c r="A6" s="15">
        <f t="shared" si="3"/>
        <v>30072</v>
      </c>
      <c r="B6" s="11">
        <v>0.9483667017913503</v>
      </c>
      <c r="C6" s="11">
        <f t="shared" si="0"/>
        <v>0.23858560535900958</v>
      </c>
      <c r="D6" s="11">
        <f t="shared" si="1"/>
        <v>0.3276315813357526</v>
      </c>
      <c r="E6" s="11">
        <f t="shared" si="2"/>
        <v>2.1664001178963463</v>
      </c>
    </row>
    <row r="7" spans="1:19">
      <c r="A7" s="15">
        <f t="shared" si="3"/>
        <v>30103</v>
      </c>
      <c r="B7" s="11">
        <v>1.2526096033402954</v>
      </c>
      <c r="C7" s="11">
        <f t="shared" si="0"/>
        <v>0.23858560535900958</v>
      </c>
      <c r="D7" s="11">
        <f t="shared" si="1"/>
        <v>0.3276315813357526</v>
      </c>
      <c r="E7" s="11">
        <f t="shared" si="2"/>
        <v>3.0950129833244833</v>
      </c>
    </row>
    <row r="8" spans="1:19">
      <c r="A8" s="15">
        <f t="shared" si="3"/>
        <v>30133</v>
      </c>
      <c r="B8" s="11">
        <v>0.51546391752577314</v>
      </c>
      <c r="C8" s="11">
        <f t="shared" si="0"/>
        <v>0.23858560535900958</v>
      </c>
      <c r="D8" s="11">
        <f t="shared" si="1"/>
        <v>0.3276315813357526</v>
      </c>
      <c r="E8" s="11">
        <f t="shared" si="2"/>
        <v>0.84509042454922034</v>
      </c>
    </row>
    <row r="9" spans="1:19">
      <c r="A9" s="15">
        <f t="shared" si="3"/>
        <v>30164</v>
      </c>
      <c r="B9" s="11">
        <v>0.20512820512820804</v>
      </c>
      <c r="C9" s="11">
        <f t="shared" si="0"/>
        <v>0.23858560535900958</v>
      </c>
      <c r="D9" s="11">
        <f t="shared" si="1"/>
        <v>0.3276315813357526</v>
      </c>
      <c r="E9" s="11">
        <f t="shared" si="2"/>
        <v>-0.102118971847573</v>
      </c>
    </row>
    <row r="10" spans="1:19">
      <c r="A10" s="15">
        <f t="shared" si="3"/>
        <v>30195</v>
      </c>
      <c r="B10" s="11">
        <v>0.20470829068577567</v>
      </c>
      <c r="C10" s="11">
        <f t="shared" si="0"/>
        <v>0.23858560535900958</v>
      </c>
      <c r="D10" s="11">
        <f t="shared" si="1"/>
        <v>0.3276315813357526</v>
      </c>
      <c r="E10" s="11">
        <f t="shared" si="2"/>
        <v>-0.10340063840950935</v>
      </c>
    </row>
    <row r="11" spans="1:19">
      <c r="A11" s="15">
        <f t="shared" si="3"/>
        <v>30225</v>
      </c>
      <c r="B11" s="11">
        <v>0.30643513789580912</v>
      </c>
      <c r="C11" s="11">
        <f t="shared" si="0"/>
        <v>0.23858560535900958</v>
      </c>
      <c r="D11" s="11">
        <f t="shared" si="1"/>
        <v>0.3276315813357526</v>
      </c>
      <c r="E11" s="11">
        <f t="shared" si="2"/>
        <v>0.20709094117293966</v>
      </c>
    </row>
    <row r="12" spans="1:19">
      <c r="A12" s="15">
        <f t="shared" si="3"/>
        <v>30256</v>
      </c>
      <c r="B12" s="11">
        <v>-0.20366598778004363</v>
      </c>
      <c r="C12" s="11">
        <f t="shared" si="0"/>
        <v>0.23858560535900958</v>
      </c>
      <c r="D12" s="11">
        <f t="shared" si="1"/>
        <v>0.3276315813357526</v>
      </c>
      <c r="E12" s="11">
        <f t="shared" si="2"/>
        <v>-1.3498442101826549</v>
      </c>
    </row>
    <row r="13" spans="1:19">
      <c r="A13" s="15">
        <f t="shared" si="3"/>
        <v>30286</v>
      </c>
      <c r="B13" s="11">
        <v>-0.40816326530612823</v>
      </c>
      <c r="C13" s="11">
        <f t="shared" si="0"/>
        <v>0.23858560535900958</v>
      </c>
      <c r="D13" s="11">
        <f t="shared" si="1"/>
        <v>0.3276315813357526</v>
      </c>
      <c r="E13" s="11">
        <f t="shared" si="2"/>
        <v>-1.9740126029009335</v>
      </c>
    </row>
    <row r="14" spans="1:19">
      <c r="A14" s="15">
        <f t="shared" si="3"/>
        <v>30317</v>
      </c>
      <c r="B14" s="11">
        <v>0.20491803278688817</v>
      </c>
      <c r="C14" s="11">
        <f t="shared" si="0"/>
        <v>0.23858560535900958</v>
      </c>
      <c r="D14" s="11">
        <f t="shared" si="1"/>
        <v>0.3276315813357526</v>
      </c>
      <c r="E14" s="11">
        <f t="shared" si="2"/>
        <v>-0.10276046172001753</v>
      </c>
    </row>
    <row r="15" spans="1:19">
      <c r="A15" s="15">
        <f t="shared" si="3"/>
        <v>30348</v>
      </c>
      <c r="B15" s="11">
        <v>0.10224948875256497</v>
      </c>
      <c r="C15" s="11">
        <f t="shared" si="0"/>
        <v>0.23858560535900958</v>
      </c>
      <c r="D15" s="11">
        <f t="shared" si="1"/>
        <v>0.3276315813357526</v>
      </c>
      <c r="E15" s="11">
        <f t="shared" si="2"/>
        <v>-0.41612629664882378</v>
      </c>
    </row>
    <row r="16" spans="1:19">
      <c r="A16" s="15">
        <f t="shared" si="3"/>
        <v>30376</v>
      </c>
      <c r="B16">
        <v>0</v>
      </c>
      <c r="C16" s="11">
        <f t="shared" si="0"/>
        <v>0.23858560535900958</v>
      </c>
      <c r="D16" s="11">
        <f t="shared" si="1"/>
        <v>0.3276315813357526</v>
      </c>
      <c r="E16" s="11">
        <f t="shared" si="2"/>
        <v>-0.72821308735347512</v>
      </c>
    </row>
    <row r="17" spans="1:5">
      <c r="A17" s="15">
        <f t="shared" si="3"/>
        <v>30407</v>
      </c>
      <c r="B17" s="11">
        <v>0.71501532175688309</v>
      </c>
      <c r="C17" s="11">
        <f t="shared" si="0"/>
        <v>0.23858560535900958</v>
      </c>
      <c r="D17" s="11">
        <f t="shared" si="1"/>
        <v>0.3276315813357526</v>
      </c>
      <c r="E17" s="11">
        <f t="shared" si="2"/>
        <v>1.4541629792081445</v>
      </c>
    </row>
    <row r="18" spans="1:5">
      <c r="A18" s="15">
        <f t="shared" si="3"/>
        <v>30437</v>
      </c>
      <c r="B18" s="11">
        <v>0.60851926977688497</v>
      </c>
      <c r="C18" s="11">
        <f t="shared" si="0"/>
        <v>0.23858560535900958</v>
      </c>
      <c r="D18" s="11">
        <f t="shared" si="1"/>
        <v>0.3276315813357526</v>
      </c>
      <c r="E18" s="11">
        <f t="shared" si="2"/>
        <v>1.1291147907953727</v>
      </c>
    </row>
    <row r="19" spans="1:5">
      <c r="A19" s="15">
        <f t="shared" si="3"/>
        <v>30468</v>
      </c>
      <c r="B19" s="11">
        <v>0.3024193548387068</v>
      </c>
      <c r="C19" s="11">
        <f t="shared" si="0"/>
        <v>0.23858560535900958</v>
      </c>
      <c r="D19" s="11">
        <f t="shared" si="1"/>
        <v>0.3276315813357526</v>
      </c>
      <c r="E19" s="11">
        <f t="shared" si="2"/>
        <v>0.19483393273458954</v>
      </c>
    </row>
    <row r="20" spans="1:5">
      <c r="A20" s="15">
        <f t="shared" si="3"/>
        <v>30498</v>
      </c>
      <c r="B20" s="11">
        <v>0.40201005025126196</v>
      </c>
      <c r="C20" s="11">
        <f t="shared" si="0"/>
        <v>0.23858560535900958</v>
      </c>
      <c r="D20" s="11">
        <f t="shared" si="1"/>
        <v>0.3276315813357526</v>
      </c>
      <c r="E20" s="11">
        <f t="shared" si="2"/>
        <v>0.49880553097467467</v>
      </c>
    </row>
    <row r="21" spans="1:5">
      <c r="A21" s="15">
        <f t="shared" si="3"/>
        <v>30529</v>
      </c>
      <c r="B21" s="11">
        <v>0.30030030030029742</v>
      </c>
      <c r="C21" s="11">
        <f t="shared" si="0"/>
        <v>0.23858560535900958</v>
      </c>
      <c r="D21" s="11">
        <f t="shared" si="1"/>
        <v>0.3276315813357526</v>
      </c>
      <c r="E21" s="11">
        <f t="shared" si="2"/>
        <v>0.18836613579703546</v>
      </c>
    </row>
    <row r="22" spans="1:5">
      <c r="A22" s="15">
        <f t="shared" si="3"/>
        <v>30560</v>
      </c>
      <c r="B22" s="11">
        <v>0.49900199600798401</v>
      </c>
      <c r="C22" s="11">
        <f t="shared" si="0"/>
        <v>0.23858560535900958</v>
      </c>
      <c r="D22" s="11">
        <f t="shared" si="1"/>
        <v>0.3276315813357526</v>
      </c>
      <c r="E22" s="11">
        <f t="shared" si="2"/>
        <v>0.79484520261220815</v>
      </c>
    </row>
    <row r="23" spans="1:5">
      <c r="A23" s="15">
        <f t="shared" si="3"/>
        <v>30590</v>
      </c>
      <c r="B23" s="11">
        <v>0.29791459781529012</v>
      </c>
      <c r="C23" s="11">
        <f t="shared" si="0"/>
        <v>0.23858560535900958</v>
      </c>
      <c r="D23" s="11">
        <f t="shared" si="1"/>
        <v>0.3276315813357526</v>
      </c>
      <c r="E23" s="11">
        <f t="shared" si="2"/>
        <v>0.18108447364688252</v>
      </c>
    </row>
    <row r="24" spans="1:5">
      <c r="A24" s="15">
        <f t="shared" si="3"/>
        <v>30621</v>
      </c>
      <c r="B24" s="11">
        <v>0.19801980198020083</v>
      </c>
      <c r="C24" s="11">
        <f t="shared" si="0"/>
        <v>0.23858560535900958</v>
      </c>
      <c r="D24" s="11">
        <f t="shared" si="1"/>
        <v>0.3276315813357526</v>
      </c>
      <c r="E24" s="11">
        <f t="shared" si="2"/>
        <v>-0.12381530258292603</v>
      </c>
    </row>
    <row r="25" spans="1:5">
      <c r="A25" s="15">
        <f t="shared" si="3"/>
        <v>30651</v>
      </c>
      <c r="B25" s="11">
        <v>9.8814229249006236E-2</v>
      </c>
      <c r="C25" s="11">
        <f t="shared" si="0"/>
        <v>0.23858560535900958</v>
      </c>
      <c r="D25" s="11">
        <f t="shared" si="1"/>
        <v>0.3276315813357526</v>
      </c>
      <c r="E25" s="11">
        <f t="shared" si="2"/>
        <v>-0.42661142598084112</v>
      </c>
    </row>
    <row r="26" spans="1:5">
      <c r="A26" s="15">
        <f t="shared" si="3"/>
        <v>30682</v>
      </c>
      <c r="B26" s="11">
        <v>0.59230009871669154</v>
      </c>
      <c r="C26" s="11">
        <f t="shared" si="0"/>
        <v>0.23858560535900958</v>
      </c>
      <c r="D26" s="11">
        <f t="shared" si="1"/>
        <v>0.3276315813357526</v>
      </c>
      <c r="E26" s="11">
        <f t="shared" si="2"/>
        <v>1.079610493944416</v>
      </c>
    </row>
    <row r="27" spans="1:5">
      <c r="A27" s="15">
        <f t="shared" si="3"/>
        <v>30713</v>
      </c>
      <c r="B27" s="11">
        <v>0.49067713444553479</v>
      </c>
      <c r="C27" s="11">
        <f t="shared" si="0"/>
        <v>0.23858560535900958</v>
      </c>
      <c r="D27" s="11">
        <f t="shared" si="1"/>
        <v>0.3276315813357526</v>
      </c>
      <c r="E27" s="11">
        <f t="shared" si="2"/>
        <v>0.7694359867835362</v>
      </c>
    </row>
    <row r="28" spans="1:5">
      <c r="A28" s="15">
        <f t="shared" si="3"/>
        <v>30742</v>
      </c>
      <c r="B28" s="11">
        <v>0.1953124999999889</v>
      </c>
      <c r="C28" s="11">
        <f t="shared" si="0"/>
        <v>0.23858560535900958</v>
      </c>
      <c r="D28" s="11">
        <f t="shared" si="1"/>
        <v>0.3276315813357526</v>
      </c>
      <c r="E28" s="11">
        <f t="shared" si="2"/>
        <v>-0.13207855354662823</v>
      </c>
    </row>
    <row r="29" spans="1:5">
      <c r="A29" s="15">
        <f t="shared" si="3"/>
        <v>30773</v>
      </c>
      <c r="B29" s="11">
        <v>0.48732943469785583</v>
      </c>
      <c r="C29" s="11">
        <f t="shared" si="0"/>
        <v>0.23858560535900958</v>
      </c>
      <c r="D29" s="11">
        <f t="shared" si="1"/>
        <v>0.3276315813357526</v>
      </c>
      <c r="E29" s="11">
        <f t="shared" si="2"/>
        <v>0.75921810811008728</v>
      </c>
    </row>
    <row r="30" spans="1:5">
      <c r="A30" s="15">
        <f t="shared" si="3"/>
        <v>30803</v>
      </c>
      <c r="B30" s="11">
        <v>0.29097963142581124</v>
      </c>
      <c r="C30" s="11">
        <f t="shared" si="0"/>
        <v>0.23858560535900958</v>
      </c>
      <c r="D30" s="11">
        <f t="shared" si="1"/>
        <v>0.3276315813357526</v>
      </c>
      <c r="E30" s="11">
        <f t="shared" si="2"/>
        <v>0.15991750811442362</v>
      </c>
    </row>
    <row r="31" spans="1:5">
      <c r="A31" s="15">
        <f t="shared" si="3"/>
        <v>30834</v>
      </c>
      <c r="B31" s="11">
        <v>0.2901353965183725</v>
      </c>
      <c r="C31" s="11">
        <f t="shared" si="0"/>
        <v>0.23858560535900958</v>
      </c>
      <c r="D31" s="11">
        <f t="shared" si="1"/>
        <v>0.3276315813357526</v>
      </c>
      <c r="E31" s="11">
        <f t="shared" si="2"/>
        <v>0.15734072688961986</v>
      </c>
    </row>
    <row r="32" spans="1:5">
      <c r="A32" s="15">
        <f t="shared" si="3"/>
        <v>30864</v>
      </c>
      <c r="B32" s="11">
        <v>0.38572806171648166</v>
      </c>
      <c r="C32" s="11">
        <f t="shared" si="0"/>
        <v>0.23858560535900958</v>
      </c>
      <c r="D32" s="11">
        <f t="shared" si="1"/>
        <v>0.3276315813357526</v>
      </c>
      <c r="E32" s="11">
        <f t="shared" si="2"/>
        <v>0.44910950207416789</v>
      </c>
    </row>
    <row r="33" spans="1:5">
      <c r="A33" s="15">
        <f t="shared" si="3"/>
        <v>30895</v>
      </c>
      <c r="B33" s="11">
        <v>0.38424591738713326</v>
      </c>
      <c r="C33" s="11">
        <f t="shared" si="0"/>
        <v>0.23858560535900958</v>
      </c>
      <c r="D33" s="11">
        <f t="shared" si="1"/>
        <v>0.3276315813357526</v>
      </c>
      <c r="E33" s="11">
        <f t="shared" si="2"/>
        <v>0.44458568808985749</v>
      </c>
    </row>
    <row r="34" spans="1:5">
      <c r="A34" s="15">
        <f t="shared" si="3"/>
        <v>30926</v>
      </c>
      <c r="B34" s="11">
        <v>0.4784688995215311</v>
      </c>
      <c r="C34" s="11">
        <f t="shared" si="0"/>
        <v>0.23858560535900958</v>
      </c>
      <c r="D34" s="11">
        <f t="shared" si="1"/>
        <v>0.3276315813357526</v>
      </c>
      <c r="E34" s="11">
        <f t="shared" si="2"/>
        <v>0.73217390455620401</v>
      </c>
    </row>
    <row r="35" spans="1:5">
      <c r="A35" s="15">
        <f t="shared" si="3"/>
        <v>30956</v>
      </c>
      <c r="B35" s="11">
        <v>0.28571428571428303</v>
      </c>
      <c r="C35" s="11">
        <f t="shared" si="0"/>
        <v>0.23858560535900958</v>
      </c>
      <c r="D35" s="11">
        <f t="shared" si="1"/>
        <v>0.3276315813357526</v>
      </c>
      <c r="E35" s="11">
        <f t="shared" si="2"/>
        <v>0.14384657352972513</v>
      </c>
    </row>
    <row r="36" spans="1:5">
      <c r="A36" s="15">
        <f t="shared" si="3"/>
        <v>30987</v>
      </c>
      <c r="B36" s="11">
        <v>0</v>
      </c>
      <c r="C36" s="11">
        <f t="shared" si="0"/>
        <v>0.23858560535900958</v>
      </c>
      <c r="D36" s="11">
        <f t="shared" si="1"/>
        <v>0.3276315813357526</v>
      </c>
      <c r="E36" s="11">
        <f t="shared" si="2"/>
        <v>-0.72821308735347512</v>
      </c>
    </row>
    <row r="37" spans="1:5">
      <c r="A37" s="15">
        <f t="shared" si="3"/>
        <v>31017</v>
      </c>
      <c r="B37" s="11">
        <v>0</v>
      </c>
      <c r="C37" s="11">
        <f t="shared" si="0"/>
        <v>0.23858560535900958</v>
      </c>
      <c r="D37" s="11">
        <f t="shared" si="1"/>
        <v>0.3276315813357526</v>
      </c>
      <c r="E37" s="11">
        <f t="shared" si="2"/>
        <v>-0.72821308735347512</v>
      </c>
    </row>
    <row r="38" spans="1:5">
      <c r="A38" s="15">
        <f t="shared" si="3"/>
        <v>31048</v>
      </c>
      <c r="B38" s="11">
        <v>0.18993352326685931</v>
      </c>
      <c r="C38" s="11">
        <f t="shared" si="0"/>
        <v>0.23858560535900958</v>
      </c>
      <c r="D38" s="11">
        <f t="shared" si="1"/>
        <v>0.3276315813357526</v>
      </c>
      <c r="E38" s="11">
        <f t="shared" si="2"/>
        <v>-0.14849631373689903</v>
      </c>
    </row>
    <row r="39" spans="1:5">
      <c r="A39" s="15">
        <f t="shared" si="3"/>
        <v>31079</v>
      </c>
      <c r="B39" s="11">
        <v>0.47393364928909953</v>
      </c>
      <c r="C39" s="11">
        <f t="shared" si="0"/>
        <v>0.23858560535900958</v>
      </c>
      <c r="D39" s="11">
        <f t="shared" si="1"/>
        <v>0.3276315813357526</v>
      </c>
      <c r="E39" s="11">
        <f t="shared" si="2"/>
        <v>0.71833137382720236</v>
      </c>
    </row>
    <row r="40" spans="1:5">
      <c r="A40" s="15">
        <f t="shared" si="3"/>
        <v>31107</v>
      </c>
      <c r="B40" s="11">
        <v>0.37735849056604309</v>
      </c>
      <c r="C40" s="11">
        <f t="shared" si="0"/>
        <v>0.23858560535900958</v>
      </c>
      <c r="D40" s="11">
        <f t="shared" si="1"/>
        <v>0.3276315813357526</v>
      </c>
      <c r="E40" s="11">
        <f t="shared" si="2"/>
        <v>0.4235638232470052</v>
      </c>
    </row>
    <row r="41" spans="1:5">
      <c r="A41" s="15">
        <f t="shared" si="3"/>
        <v>31138</v>
      </c>
      <c r="B41" s="11">
        <v>0.46992481203007519</v>
      </c>
      <c r="C41" s="11">
        <f t="shared" si="0"/>
        <v>0.23858560535900958</v>
      </c>
      <c r="D41" s="11">
        <f t="shared" si="1"/>
        <v>0.3276315813357526</v>
      </c>
      <c r="E41" s="11">
        <f t="shared" si="2"/>
        <v>0.70609556541495977</v>
      </c>
    </row>
    <row r="42" spans="1:5">
      <c r="A42" s="15">
        <f t="shared" si="3"/>
        <v>31168</v>
      </c>
      <c r="B42" s="11">
        <v>0.37418147801683022</v>
      </c>
      <c r="C42" s="11">
        <f t="shared" si="0"/>
        <v>0.23858560535900958</v>
      </c>
      <c r="D42" s="11">
        <f t="shared" si="1"/>
        <v>0.3276315813357526</v>
      </c>
      <c r="E42" s="11">
        <f t="shared" si="2"/>
        <v>0.41386691754499622</v>
      </c>
    </row>
    <row r="43" spans="1:5">
      <c r="A43" s="15">
        <f t="shared" si="3"/>
        <v>31199</v>
      </c>
      <c r="B43" s="11">
        <v>0.27958993476234595</v>
      </c>
      <c r="C43" s="11">
        <f t="shared" si="0"/>
        <v>0.23858560535900958</v>
      </c>
      <c r="D43" s="11">
        <f t="shared" si="1"/>
        <v>0.3276315813357526</v>
      </c>
      <c r="E43" s="11">
        <f t="shared" si="2"/>
        <v>0.1251537755797591</v>
      </c>
    </row>
    <row r="44" spans="1:5">
      <c r="A44" s="15">
        <f t="shared" si="3"/>
        <v>31229</v>
      </c>
      <c r="B44" s="11">
        <v>0.18587360594795804</v>
      </c>
      <c r="C44" s="11">
        <f t="shared" si="0"/>
        <v>0.23858560535900958</v>
      </c>
      <c r="D44" s="11">
        <f t="shared" si="1"/>
        <v>0.3276315813357526</v>
      </c>
      <c r="E44" s="11">
        <f t="shared" si="2"/>
        <v>-0.16088802915807118</v>
      </c>
    </row>
    <row r="45" spans="1:5">
      <c r="A45" s="15">
        <f t="shared" si="3"/>
        <v>31260</v>
      </c>
      <c r="B45" s="11">
        <v>0.18552875695733104</v>
      </c>
      <c r="C45" s="11">
        <f t="shared" si="0"/>
        <v>0.23858560535900958</v>
      </c>
      <c r="D45" s="11">
        <f t="shared" si="1"/>
        <v>0.3276315813357526</v>
      </c>
      <c r="E45" s="11">
        <f t="shared" si="2"/>
        <v>-0.16194058028644856</v>
      </c>
    </row>
    <row r="46" spans="1:5">
      <c r="A46" s="15">
        <f t="shared" si="3"/>
        <v>31291</v>
      </c>
      <c r="B46" s="11">
        <v>0.27777777777777513</v>
      </c>
      <c r="C46" s="11">
        <f t="shared" si="0"/>
        <v>0.23858560535900958</v>
      </c>
      <c r="D46" s="11">
        <f t="shared" si="1"/>
        <v>0.3276315813357526</v>
      </c>
      <c r="E46" s="11">
        <f t="shared" si="2"/>
        <v>0.1196226940607472</v>
      </c>
    </row>
    <row r="47" spans="1:5">
      <c r="A47" s="15">
        <f t="shared" si="3"/>
        <v>31321</v>
      </c>
      <c r="B47" s="11">
        <v>0.36934441366574861</v>
      </c>
      <c r="C47" s="11">
        <f t="shared" si="0"/>
        <v>0.23858560535900958</v>
      </c>
      <c r="D47" s="11">
        <f t="shared" si="1"/>
        <v>0.3276315813357526</v>
      </c>
      <c r="E47" s="11">
        <f t="shared" si="2"/>
        <v>0.39910318710313553</v>
      </c>
    </row>
    <row r="48" spans="1:5">
      <c r="A48" s="15">
        <f t="shared" si="3"/>
        <v>31352</v>
      </c>
      <c r="B48" s="11">
        <v>0.27598896044157972</v>
      </c>
      <c r="C48" s="11">
        <f t="shared" si="0"/>
        <v>0.23858560535900958</v>
      </c>
      <c r="D48" s="11">
        <f t="shared" si="1"/>
        <v>0.3276315813357526</v>
      </c>
      <c r="E48" s="11">
        <f t="shared" si="2"/>
        <v>0.11416285002220122</v>
      </c>
    </row>
    <row r="49" spans="1:5">
      <c r="A49" s="15">
        <f t="shared" si="3"/>
        <v>31382</v>
      </c>
      <c r="B49" s="11">
        <v>0.27522935779816254</v>
      </c>
      <c r="C49" s="11">
        <f t="shared" si="0"/>
        <v>0.23858560535900958</v>
      </c>
      <c r="D49" s="11">
        <f t="shared" si="1"/>
        <v>0.3276315813357526</v>
      </c>
      <c r="E49" s="11">
        <f t="shared" si="2"/>
        <v>0.11184438413951592</v>
      </c>
    </row>
    <row r="50" spans="1:5">
      <c r="A50" s="15">
        <f t="shared" si="3"/>
        <v>31413</v>
      </c>
      <c r="B50" s="11">
        <v>0.27447392497712458</v>
      </c>
      <c r="C50" s="11">
        <f t="shared" si="0"/>
        <v>0.23858560535900958</v>
      </c>
      <c r="D50" s="11">
        <f t="shared" si="1"/>
        <v>0.3276315813357526</v>
      </c>
      <c r="E50" s="11">
        <f t="shared" si="2"/>
        <v>0.10953864542544549</v>
      </c>
    </row>
    <row r="51" spans="1:5">
      <c r="A51" s="15">
        <f t="shared" si="3"/>
        <v>31444</v>
      </c>
      <c r="B51" s="11">
        <v>-0.27372262773722367</v>
      </c>
      <c r="C51" s="11">
        <f t="shared" si="0"/>
        <v>0.23858560535900958</v>
      </c>
      <c r="D51" s="11">
        <f t="shared" si="1"/>
        <v>0.3276315813357526</v>
      </c>
      <c r="E51" s="11">
        <f t="shared" si="2"/>
        <v>-1.5636717040755188</v>
      </c>
    </row>
    <row r="52" spans="1:5">
      <c r="A52" s="15">
        <f t="shared" si="3"/>
        <v>31472</v>
      </c>
      <c r="B52" s="11">
        <v>-0.45745654162854532</v>
      </c>
      <c r="C52" s="11">
        <f t="shared" si="0"/>
        <v>0.23858560535900958</v>
      </c>
      <c r="D52" s="11">
        <f t="shared" si="1"/>
        <v>0.3276315813357526</v>
      </c>
      <c r="E52" s="11">
        <f t="shared" si="2"/>
        <v>-2.1244659753183557</v>
      </c>
    </row>
    <row r="53" spans="1:5">
      <c r="A53" s="15">
        <f t="shared" si="3"/>
        <v>31503</v>
      </c>
      <c r="B53" s="11">
        <v>-0.18382352941176733</v>
      </c>
      <c r="C53" s="11">
        <f t="shared" si="0"/>
        <v>0.23858560535900958</v>
      </c>
      <c r="D53" s="11">
        <f t="shared" si="1"/>
        <v>0.3276315813357526</v>
      </c>
      <c r="E53" s="11">
        <f t="shared" si="2"/>
        <v>-1.2892808838776062</v>
      </c>
    </row>
    <row r="54" spans="1:5">
      <c r="A54" s="15">
        <f t="shared" si="3"/>
        <v>31533</v>
      </c>
      <c r="B54" s="11">
        <v>0.27624309392266244</v>
      </c>
      <c r="C54" s="11">
        <f t="shared" si="0"/>
        <v>0.23858560535900958</v>
      </c>
      <c r="D54" s="11">
        <f t="shared" si="1"/>
        <v>0.3276315813357526</v>
      </c>
      <c r="E54" s="11">
        <f t="shared" si="2"/>
        <v>0.11493851847286345</v>
      </c>
    </row>
    <row r="55" spans="1:5">
      <c r="A55" s="15">
        <f t="shared" si="3"/>
        <v>31564</v>
      </c>
      <c r="B55" s="11">
        <v>0.55096418732781838</v>
      </c>
      <c r="C55" s="11">
        <f t="shared" si="0"/>
        <v>0.23858560535900958</v>
      </c>
      <c r="D55" s="11">
        <f t="shared" si="1"/>
        <v>0.3276315813357526</v>
      </c>
      <c r="E55" s="11">
        <f t="shared" si="2"/>
        <v>0.95344466090613922</v>
      </c>
    </row>
    <row r="56" spans="1:5">
      <c r="A56" s="15">
        <f t="shared" si="3"/>
        <v>31594</v>
      </c>
      <c r="B56" s="11">
        <v>0</v>
      </c>
      <c r="C56" s="11">
        <f t="shared" si="0"/>
        <v>0.23858560535900958</v>
      </c>
      <c r="D56" s="11">
        <f t="shared" si="1"/>
        <v>0.3276315813357526</v>
      </c>
      <c r="E56" s="11">
        <f t="shared" si="2"/>
        <v>-0.72821308735347512</v>
      </c>
    </row>
    <row r="57" spans="1:5">
      <c r="A57" s="15">
        <f t="shared" si="3"/>
        <v>31625</v>
      </c>
      <c r="B57" s="11">
        <v>0.18264840182648662</v>
      </c>
      <c r="C57" s="11">
        <f t="shared" si="0"/>
        <v>0.23858560535900958</v>
      </c>
      <c r="D57" s="11">
        <f t="shared" si="1"/>
        <v>0.3276315813357526</v>
      </c>
      <c r="E57" s="11">
        <f t="shared" si="2"/>
        <v>-0.17073202560164444</v>
      </c>
    </row>
    <row r="58" spans="1:5">
      <c r="A58" s="15">
        <f t="shared" si="3"/>
        <v>31656</v>
      </c>
      <c r="B58" s="11">
        <v>0.45578851412944388</v>
      </c>
      <c r="C58" s="11">
        <f t="shared" si="0"/>
        <v>0.23858560535900958</v>
      </c>
      <c r="D58" s="11">
        <f t="shared" si="1"/>
        <v>0.3276315813357526</v>
      </c>
      <c r="E58" s="11">
        <f t="shared" si="2"/>
        <v>0.66294863237816981</v>
      </c>
    </row>
    <row r="59" spans="1:5">
      <c r="A59" s="15">
        <f t="shared" si="3"/>
        <v>31686</v>
      </c>
      <c r="B59" s="11">
        <v>9.0744101633388669E-2</v>
      </c>
      <c r="C59" s="11">
        <f t="shared" si="0"/>
        <v>0.23858560535900958</v>
      </c>
      <c r="D59" s="11">
        <f t="shared" si="1"/>
        <v>0.3276315813357526</v>
      </c>
      <c r="E59" s="11">
        <f t="shared" si="2"/>
        <v>-0.45124314061199994</v>
      </c>
    </row>
    <row r="60" spans="1:5">
      <c r="A60" s="15">
        <f t="shared" si="3"/>
        <v>31717</v>
      </c>
      <c r="B60" s="11">
        <v>9.0661831369001383E-2</v>
      </c>
      <c r="C60" s="11">
        <f t="shared" si="0"/>
        <v>0.23858560535900958</v>
      </c>
      <c r="D60" s="11">
        <f t="shared" si="1"/>
        <v>0.3276315813357526</v>
      </c>
      <c r="E60" s="11">
        <f t="shared" si="2"/>
        <v>-0.45149424663801818</v>
      </c>
    </row>
    <row r="61" spans="1:5">
      <c r="A61" s="15">
        <f t="shared" si="3"/>
        <v>31747</v>
      </c>
      <c r="B61" s="11">
        <v>9.0579710144922387E-2</v>
      </c>
      <c r="C61" s="11">
        <f t="shared" si="0"/>
        <v>0.23858560535900958</v>
      </c>
      <c r="D61" s="11">
        <f t="shared" si="1"/>
        <v>0.3276315813357526</v>
      </c>
      <c r="E61" s="11">
        <f t="shared" si="2"/>
        <v>-0.45174489776189392</v>
      </c>
    </row>
    <row r="62" spans="1:5">
      <c r="A62" s="15">
        <f t="shared" si="3"/>
        <v>31778</v>
      </c>
      <c r="B62" s="11">
        <v>0.63348416289593024</v>
      </c>
      <c r="C62" s="11">
        <f t="shared" si="0"/>
        <v>0.23858560535900958</v>
      </c>
      <c r="D62" s="11">
        <f t="shared" si="1"/>
        <v>0.3276315813357526</v>
      </c>
      <c r="E62" s="11">
        <f t="shared" si="2"/>
        <v>1.2053128575912031</v>
      </c>
    </row>
    <row r="63" spans="1:5">
      <c r="A63" s="15">
        <f t="shared" si="3"/>
        <v>31809</v>
      </c>
      <c r="B63" s="11">
        <v>0.35971223021581966</v>
      </c>
      <c r="C63" s="11">
        <f t="shared" si="0"/>
        <v>0.23858560535900958</v>
      </c>
      <c r="D63" s="11">
        <f t="shared" si="1"/>
        <v>0.3276315813357526</v>
      </c>
      <c r="E63" s="11">
        <f t="shared" si="2"/>
        <v>0.3697037518879509</v>
      </c>
    </row>
    <row r="64" spans="1:5">
      <c r="A64" s="15">
        <f t="shared" si="3"/>
        <v>31837</v>
      </c>
      <c r="B64" s="11">
        <v>0.44802867383512551</v>
      </c>
      <c r="C64" s="11">
        <f t="shared" si="0"/>
        <v>0.23858560535900958</v>
      </c>
      <c r="D64" s="11">
        <f t="shared" si="1"/>
        <v>0.3276315813357526</v>
      </c>
      <c r="E64" s="11">
        <f t="shared" si="2"/>
        <v>0.63926397944367086</v>
      </c>
    </row>
    <row r="65" spans="1:5">
      <c r="A65" s="15">
        <f t="shared" si="3"/>
        <v>31868</v>
      </c>
      <c r="B65" s="11">
        <v>0.53523639607494078</v>
      </c>
      <c r="C65" s="11">
        <f t="shared" si="0"/>
        <v>0.23858560535900958</v>
      </c>
      <c r="D65" s="11">
        <f t="shared" si="1"/>
        <v>0.3276315813357526</v>
      </c>
      <c r="E65" s="11">
        <f t="shared" si="2"/>
        <v>0.90544015783364706</v>
      </c>
    </row>
    <row r="66" spans="1:5">
      <c r="A66" s="15">
        <f t="shared" si="3"/>
        <v>31898</v>
      </c>
      <c r="B66" s="11">
        <v>0.35492457852705545</v>
      </c>
      <c r="C66" s="11">
        <f t="shared" si="0"/>
        <v>0.23858560535900958</v>
      </c>
      <c r="D66" s="11">
        <f t="shared" si="1"/>
        <v>0.3276315813357526</v>
      </c>
      <c r="E66" s="11">
        <f t="shared" si="2"/>
        <v>0.35509083920949364</v>
      </c>
    </row>
    <row r="67" spans="1:5">
      <c r="A67" s="15">
        <f t="shared" si="3"/>
        <v>31929</v>
      </c>
      <c r="B67" s="11">
        <v>0.35366931918656563</v>
      </c>
      <c r="C67" s="11">
        <f t="shared" ref="C67:C130" si="4">AVERAGE($B$2:$B$541)</f>
        <v>0.23858560535900958</v>
      </c>
      <c r="D67" s="11">
        <f t="shared" ref="D67:D130" si="5">_xlfn.STDEV.S($B$2:$B$541)</f>
        <v>0.3276315813357526</v>
      </c>
      <c r="E67" s="11">
        <f t="shared" ref="E67:E130" si="6">(B67-C67)/D67</f>
        <v>0.35125952558773554</v>
      </c>
    </row>
    <row r="68" spans="1:5">
      <c r="A68" s="15">
        <f t="shared" ref="A68:A131" si="7">EDATE(A67,1)</f>
        <v>31959</v>
      </c>
      <c r="B68" s="11">
        <v>0.26431718061673759</v>
      </c>
      <c r="C68" s="11">
        <f t="shared" si="4"/>
        <v>0.23858560535900958</v>
      </c>
      <c r="D68" s="11">
        <f t="shared" si="5"/>
        <v>0.3276315813357526</v>
      </c>
      <c r="E68" s="11">
        <f t="shared" si="6"/>
        <v>7.8538140776357665E-2</v>
      </c>
    </row>
    <row r="69" spans="1:5">
      <c r="A69" s="15">
        <f t="shared" si="7"/>
        <v>31990</v>
      </c>
      <c r="B69" s="11">
        <v>0.52724077328647501</v>
      </c>
      <c r="C69" s="11">
        <f t="shared" si="4"/>
        <v>0.23858560535900958</v>
      </c>
      <c r="D69" s="11">
        <f t="shared" si="5"/>
        <v>0.3276315813357526</v>
      </c>
      <c r="E69" s="11">
        <f t="shared" si="6"/>
        <v>0.88103584749253872</v>
      </c>
    </row>
    <row r="70" spans="1:5">
      <c r="A70" s="15">
        <f t="shared" si="7"/>
        <v>32021</v>
      </c>
      <c r="B70" s="11">
        <v>0.52447552447551948</v>
      </c>
      <c r="C70" s="11">
        <f t="shared" si="4"/>
        <v>0.23858560535900958</v>
      </c>
      <c r="D70" s="11">
        <f t="shared" si="5"/>
        <v>0.3276315813357526</v>
      </c>
      <c r="E70" s="11">
        <f t="shared" si="6"/>
        <v>0.87259573070135021</v>
      </c>
    </row>
    <row r="71" spans="1:5">
      <c r="A71" s="15">
        <f t="shared" si="7"/>
        <v>32051</v>
      </c>
      <c r="B71" s="11">
        <v>0.26086956521738885</v>
      </c>
      <c r="C71" s="11">
        <f t="shared" si="4"/>
        <v>0.23858560535900958</v>
      </c>
      <c r="D71" s="11">
        <f t="shared" si="5"/>
        <v>0.3276315813357526</v>
      </c>
      <c r="E71" s="11">
        <f t="shared" si="6"/>
        <v>6.8015298670316415E-2</v>
      </c>
    </row>
    <row r="72" spans="1:5">
      <c r="A72" s="15">
        <f t="shared" si="7"/>
        <v>32082</v>
      </c>
      <c r="B72" s="11">
        <v>8.6730268863840887E-2</v>
      </c>
      <c r="C72" s="11">
        <f t="shared" si="4"/>
        <v>0.23858560535900958</v>
      </c>
      <c r="D72" s="11">
        <f t="shared" si="5"/>
        <v>0.3276315813357526</v>
      </c>
      <c r="E72" s="11">
        <f t="shared" si="6"/>
        <v>-0.46349419636548805</v>
      </c>
    </row>
    <row r="73" spans="1:5">
      <c r="A73" s="15">
        <f t="shared" si="7"/>
        <v>32112</v>
      </c>
      <c r="B73" s="11">
        <v>0</v>
      </c>
      <c r="C73" s="11">
        <f t="shared" si="4"/>
        <v>0.23858560535900958</v>
      </c>
      <c r="D73" s="11">
        <f t="shared" si="5"/>
        <v>0.3276315813357526</v>
      </c>
      <c r="E73" s="11">
        <f t="shared" si="6"/>
        <v>-0.72821308735347512</v>
      </c>
    </row>
    <row r="74" spans="1:5">
      <c r="A74" s="15">
        <f t="shared" si="7"/>
        <v>32143</v>
      </c>
      <c r="B74" s="11">
        <v>0.25996533795493687</v>
      </c>
      <c r="C74" s="11">
        <f t="shared" si="4"/>
        <v>0.23858560535900958</v>
      </c>
      <c r="D74" s="11">
        <f t="shared" si="5"/>
        <v>0.3276315813357526</v>
      </c>
      <c r="E74" s="11">
        <f t="shared" si="6"/>
        <v>6.5255408250823113E-2</v>
      </c>
    </row>
    <row r="75" spans="1:5">
      <c r="A75" s="15">
        <f t="shared" si="7"/>
        <v>32174</v>
      </c>
      <c r="B75" s="11">
        <v>0.25929127052722312</v>
      </c>
      <c r="C75" s="11">
        <f t="shared" si="4"/>
        <v>0.23858560535900958</v>
      </c>
      <c r="D75" s="11">
        <f t="shared" si="5"/>
        <v>0.3276315813357526</v>
      </c>
      <c r="E75" s="11">
        <f t="shared" si="6"/>
        <v>6.319801370733745E-2</v>
      </c>
    </row>
    <row r="76" spans="1:5">
      <c r="A76" s="15">
        <f t="shared" si="7"/>
        <v>32203</v>
      </c>
      <c r="B76" s="11">
        <v>0.43103448275862066</v>
      </c>
      <c r="C76" s="11">
        <f t="shared" si="4"/>
        <v>0.23858560535900958</v>
      </c>
      <c r="D76" s="11">
        <f t="shared" si="5"/>
        <v>0.3276315813357526</v>
      </c>
      <c r="E76" s="11">
        <f t="shared" si="6"/>
        <v>0.58739415966860642</v>
      </c>
    </row>
    <row r="77" spans="1:5">
      <c r="A77" s="15">
        <f t="shared" si="7"/>
        <v>32234</v>
      </c>
      <c r="B77" s="11">
        <v>0.51502145922746301</v>
      </c>
      <c r="C77" s="11">
        <f t="shared" si="4"/>
        <v>0.23858560535900958</v>
      </c>
      <c r="D77" s="11">
        <f t="shared" si="5"/>
        <v>0.3276315813357526</v>
      </c>
      <c r="E77" s="11">
        <f t="shared" si="6"/>
        <v>0.84373994943169273</v>
      </c>
    </row>
    <row r="78" spans="1:5">
      <c r="A78" s="15">
        <f t="shared" si="7"/>
        <v>32264</v>
      </c>
      <c r="B78" s="11">
        <v>0.34158838599488101</v>
      </c>
      <c r="C78" s="11">
        <f t="shared" si="4"/>
        <v>0.23858560535900958</v>
      </c>
      <c r="D78" s="11">
        <f t="shared" si="5"/>
        <v>0.3276315813357526</v>
      </c>
      <c r="E78" s="11">
        <f t="shared" si="6"/>
        <v>0.31438599482970941</v>
      </c>
    </row>
    <row r="79" spans="1:5">
      <c r="A79" s="15">
        <f t="shared" si="7"/>
        <v>32295</v>
      </c>
      <c r="B79" s="11">
        <v>0.42553191489361702</v>
      </c>
      <c r="C79" s="11">
        <f t="shared" si="4"/>
        <v>0.23858560535900958</v>
      </c>
      <c r="D79" s="11">
        <f t="shared" si="5"/>
        <v>0.3276315813357526</v>
      </c>
      <c r="E79" s="11">
        <f t="shared" si="6"/>
        <v>0.57059917353640977</v>
      </c>
    </row>
    <row r="80" spans="1:5">
      <c r="A80" s="15">
        <f t="shared" si="7"/>
        <v>32325</v>
      </c>
      <c r="B80" s="11">
        <v>0.42372881355932202</v>
      </c>
      <c r="C80" s="11">
        <f t="shared" si="4"/>
        <v>0.23858560535900958</v>
      </c>
      <c r="D80" s="11">
        <f t="shared" si="5"/>
        <v>0.3276315813357526</v>
      </c>
      <c r="E80" s="11">
        <f t="shared" si="6"/>
        <v>0.565095731752978</v>
      </c>
    </row>
    <row r="81" spans="1:5">
      <c r="A81" s="15">
        <f t="shared" si="7"/>
        <v>32356</v>
      </c>
      <c r="B81" s="11">
        <v>0.42194092827004215</v>
      </c>
      <c r="C81" s="11">
        <f t="shared" si="4"/>
        <v>0.23858560535900958</v>
      </c>
      <c r="D81" s="11">
        <f t="shared" si="5"/>
        <v>0.3276315813357526</v>
      </c>
      <c r="E81" s="11">
        <f t="shared" si="6"/>
        <v>0.55963873251624185</v>
      </c>
    </row>
    <row r="82" spans="1:5">
      <c r="A82" s="15">
        <f t="shared" si="7"/>
        <v>32387</v>
      </c>
      <c r="B82" s="11">
        <v>0.67226890756302282</v>
      </c>
      <c r="C82" s="11">
        <f t="shared" si="4"/>
        <v>0.23858560535900958</v>
      </c>
      <c r="D82" s="11">
        <f t="shared" si="5"/>
        <v>0.3276315813357526</v>
      </c>
      <c r="E82" s="11">
        <f t="shared" si="6"/>
        <v>1.3236919970775962</v>
      </c>
    </row>
    <row r="83" spans="1:5">
      <c r="A83" s="15">
        <f t="shared" si="7"/>
        <v>32417</v>
      </c>
      <c r="B83" s="11">
        <v>0.33388981636060572</v>
      </c>
      <c r="C83" s="11">
        <f t="shared" si="4"/>
        <v>0.23858560535900958</v>
      </c>
      <c r="D83" s="11">
        <f t="shared" si="5"/>
        <v>0.3276315813357526</v>
      </c>
      <c r="E83" s="11">
        <f t="shared" si="6"/>
        <v>0.29088835274377783</v>
      </c>
    </row>
    <row r="84" spans="1:5">
      <c r="A84" s="15">
        <f t="shared" si="7"/>
        <v>32448</v>
      </c>
      <c r="B84" s="11">
        <v>8.3194675540760654E-2</v>
      </c>
      <c r="C84" s="11">
        <f t="shared" si="4"/>
        <v>0.23858560535900958</v>
      </c>
      <c r="D84" s="11">
        <f t="shared" si="5"/>
        <v>0.3276315813357526</v>
      </c>
      <c r="E84" s="11">
        <f t="shared" si="6"/>
        <v>-0.47428556546570005</v>
      </c>
    </row>
    <row r="85" spans="1:5">
      <c r="A85" s="15">
        <f t="shared" si="7"/>
        <v>32478</v>
      </c>
      <c r="B85" s="11">
        <v>0.16625103906899655</v>
      </c>
      <c r="C85" s="11">
        <f t="shared" si="4"/>
        <v>0.23858560535900958</v>
      </c>
      <c r="D85" s="11">
        <f t="shared" si="5"/>
        <v>0.3276315813357526</v>
      </c>
      <c r="E85" s="11">
        <f t="shared" si="6"/>
        <v>-0.22078020072150953</v>
      </c>
    </row>
    <row r="86" spans="1:5">
      <c r="A86" s="15">
        <f t="shared" si="7"/>
        <v>32509</v>
      </c>
      <c r="B86" s="11">
        <v>0.49792531120331479</v>
      </c>
      <c r="C86" s="11">
        <f t="shared" si="4"/>
        <v>0.23858560535900958</v>
      </c>
      <c r="D86" s="11">
        <f t="shared" si="5"/>
        <v>0.3276315813357526</v>
      </c>
      <c r="E86" s="11">
        <f t="shared" si="6"/>
        <v>0.79155893576247538</v>
      </c>
    </row>
    <row r="87" spans="1:5">
      <c r="A87" s="15">
        <f t="shared" si="7"/>
        <v>32540</v>
      </c>
      <c r="B87" s="11">
        <v>0.41288191577208916</v>
      </c>
      <c r="C87" s="11">
        <f t="shared" si="4"/>
        <v>0.23858560535900958</v>
      </c>
      <c r="D87" s="11">
        <f t="shared" si="5"/>
        <v>0.3276315813357526</v>
      </c>
      <c r="E87" s="11">
        <f t="shared" si="6"/>
        <v>0.53198873473208608</v>
      </c>
    </row>
    <row r="88" spans="1:5">
      <c r="A88" s="15">
        <f t="shared" si="7"/>
        <v>32568</v>
      </c>
      <c r="B88" s="11">
        <v>0.57565789473684448</v>
      </c>
      <c r="C88" s="11">
        <f t="shared" si="4"/>
        <v>0.23858560535900958</v>
      </c>
      <c r="D88" s="11">
        <f t="shared" si="5"/>
        <v>0.3276315813357526</v>
      </c>
      <c r="E88" s="11">
        <f t="shared" si="6"/>
        <v>1.0288150122878648</v>
      </c>
    </row>
    <row r="89" spans="1:5">
      <c r="A89" s="15">
        <f t="shared" si="7"/>
        <v>32599</v>
      </c>
      <c r="B89" s="11">
        <v>0.65412919051512441</v>
      </c>
      <c r="C89" s="11">
        <f t="shared" si="4"/>
        <v>0.23858560535900958</v>
      </c>
      <c r="D89" s="11">
        <f t="shared" si="5"/>
        <v>0.3276315813357526</v>
      </c>
      <c r="E89" s="11">
        <f t="shared" si="6"/>
        <v>1.2683257928370195</v>
      </c>
    </row>
    <row r="90" spans="1:5">
      <c r="A90" s="15">
        <f t="shared" si="7"/>
        <v>32629</v>
      </c>
      <c r="B90" s="11">
        <v>0.5686433793663711</v>
      </c>
      <c r="C90" s="11">
        <f t="shared" si="4"/>
        <v>0.23858560535900958</v>
      </c>
      <c r="D90" s="11">
        <f t="shared" si="5"/>
        <v>0.3276315813357526</v>
      </c>
      <c r="E90" s="11">
        <f t="shared" si="6"/>
        <v>1.0074052466545422</v>
      </c>
    </row>
    <row r="91" spans="1:5">
      <c r="A91" s="15">
        <f t="shared" si="7"/>
        <v>32660</v>
      </c>
      <c r="B91" s="11">
        <v>0.24232633279482807</v>
      </c>
      <c r="C91" s="11">
        <f t="shared" si="4"/>
        <v>0.23858560535900958</v>
      </c>
      <c r="D91" s="11">
        <f t="shared" si="5"/>
        <v>0.3276315813357526</v>
      </c>
      <c r="E91" s="11">
        <f t="shared" si="6"/>
        <v>1.1417481246977355E-2</v>
      </c>
    </row>
    <row r="92" spans="1:5">
      <c r="A92" s="15">
        <f t="shared" si="7"/>
        <v>32690</v>
      </c>
      <c r="B92" s="11">
        <v>0.24174053182917918</v>
      </c>
      <c r="C92" s="11">
        <f t="shared" si="4"/>
        <v>0.23858560535900958</v>
      </c>
      <c r="D92" s="11">
        <f t="shared" si="5"/>
        <v>0.3276315813357526</v>
      </c>
      <c r="E92" s="11">
        <f t="shared" si="6"/>
        <v>9.6294943769064563E-3</v>
      </c>
    </row>
    <row r="93" spans="1:5">
      <c r="A93" s="15">
        <f t="shared" si="7"/>
        <v>32721</v>
      </c>
      <c r="B93" s="11">
        <v>0.16077170418005515</v>
      </c>
      <c r="C93" s="11">
        <f t="shared" si="4"/>
        <v>0.23858560535900958</v>
      </c>
      <c r="D93" s="11">
        <f t="shared" si="5"/>
        <v>0.3276315813357526</v>
      </c>
      <c r="E93" s="11">
        <f t="shared" si="6"/>
        <v>-0.2375042749594147</v>
      </c>
    </row>
    <row r="94" spans="1:5">
      <c r="A94" s="15">
        <f t="shared" si="7"/>
        <v>32752</v>
      </c>
      <c r="B94" s="11">
        <v>0.32102728731942676</v>
      </c>
      <c r="C94" s="11">
        <f t="shared" si="4"/>
        <v>0.23858560535900958</v>
      </c>
      <c r="D94" s="11">
        <f t="shared" si="5"/>
        <v>0.3276315813357526</v>
      </c>
      <c r="E94" s="11">
        <f t="shared" si="6"/>
        <v>0.25162922824564954</v>
      </c>
    </row>
    <row r="95" spans="1:5">
      <c r="A95" s="15">
        <f t="shared" si="7"/>
        <v>32782</v>
      </c>
      <c r="B95" s="11">
        <v>0.47999999999999543</v>
      </c>
      <c r="C95" s="11">
        <f t="shared" si="4"/>
        <v>0.23858560535900958</v>
      </c>
      <c r="D95" s="11">
        <f t="shared" si="5"/>
        <v>0.3276315813357526</v>
      </c>
      <c r="E95" s="11">
        <f t="shared" si="6"/>
        <v>0.73684714293030107</v>
      </c>
    </row>
    <row r="96" spans="1:5">
      <c r="A96" s="15">
        <f t="shared" si="7"/>
        <v>32813</v>
      </c>
      <c r="B96" s="11">
        <v>0.23885350318472243</v>
      </c>
      <c r="C96" s="11">
        <f t="shared" si="4"/>
        <v>0.23858560535900958</v>
      </c>
      <c r="D96" s="11">
        <f t="shared" si="5"/>
        <v>0.3276315813357526</v>
      </c>
      <c r="E96" s="11">
        <f t="shared" si="6"/>
        <v>8.176801046487339E-4</v>
      </c>
    </row>
    <row r="97" spans="1:5">
      <c r="A97" s="15">
        <f t="shared" si="7"/>
        <v>32843</v>
      </c>
      <c r="B97" s="11">
        <v>0.15885623510721894</v>
      </c>
      <c r="C97" s="11">
        <f t="shared" si="4"/>
        <v>0.23858560535900958</v>
      </c>
      <c r="D97" s="11">
        <f t="shared" si="5"/>
        <v>0.3276315813357526</v>
      </c>
      <c r="E97" s="11">
        <f t="shared" si="6"/>
        <v>-0.24335068654472908</v>
      </c>
    </row>
    <row r="98" spans="1:5">
      <c r="A98" s="15">
        <f t="shared" si="7"/>
        <v>32874</v>
      </c>
      <c r="B98" s="11">
        <v>1.0309278350515554</v>
      </c>
      <c r="C98" s="11">
        <f t="shared" si="4"/>
        <v>0.23858560535900958</v>
      </c>
      <c r="D98" s="11">
        <f t="shared" si="5"/>
        <v>0.3276315813357526</v>
      </c>
      <c r="E98" s="11">
        <f t="shared" si="6"/>
        <v>2.4183939364519431</v>
      </c>
    </row>
    <row r="99" spans="1:5">
      <c r="A99" s="15">
        <f t="shared" si="7"/>
        <v>32905</v>
      </c>
      <c r="B99" s="11">
        <v>0.47095761381475221</v>
      </c>
      <c r="C99" s="11">
        <f t="shared" si="4"/>
        <v>0.23858560535900958</v>
      </c>
      <c r="D99" s="11">
        <f t="shared" si="5"/>
        <v>0.3276315813357526</v>
      </c>
      <c r="E99" s="11">
        <f t="shared" si="6"/>
        <v>0.70924789212432726</v>
      </c>
    </row>
    <row r="100" spans="1:5">
      <c r="A100" s="15">
        <f t="shared" si="7"/>
        <v>32933</v>
      </c>
      <c r="B100" s="11">
        <v>0.54687499999999112</v>
      </c>
      <c r="C100" s="11">
        <f t="shared" si="4"/>
        <v>0.23858560535900958</v>
      </c>
      <c r="D100" s="11">
        <f t="shared" si="5"/>
        <v>0.3276315813357526</v>
      </c>
      <c r="E100" s="11">
        <f t="shared" si="6"/>
        <v>0.94096360730576389</v>
      </c>
    </row>
    <row r="101" spans="1:5">
      <c r="A101" s="15">
        <f t="shared" si="7"/>
        <v>32964</v>
      </c>
      <c r="B101" s="11">
        <v>0.15540015540016866</v>
      </c>
      <c r="C101" s="11">
        <f t="shared" si="4"/>
        <v>0.23858560535900958</v>
      </c>
      <c r="D101" s="11">
        <f t="shared" si="5"/>
        <v>0.3276315813357526</v>
      </c>
      <c r="E101" s="11">
        <f t="shared" si="6"/>
        <v>-0.25389936348533371</v>
      </c>
    </row>
    <row r="102" spans="1:5">
      <c r="A102" s="15">
        <f t="shared" si="7"/>
        <v>32994</v>
      </c>
      <c r="B102" s="11">
        <v>0.23273855702093324</v>
      </c>
      <c r="C102" s="11">
        <f t="shared" si="4"/>
        <v>0.23858560535900958</v>
      </c>
      <c r="D102" s="11">
        <f t="shared" si="5"/>
        <v>0.3276315813357526</v>
      </c>
      <c r="E102" s="11">
        <f t="shared" si="6"/>
        <v>-1.7846412468047024E-2</v>
      </c>
    </row>
    <row r="103" spans="1:5">
      <c r="A103" s="15">
        <f t="shared" si="7"/>
        <v>33025</v>
      </c>
      <c r="B103" s="11">
        <v>0.54179566563468817</v>
      </c>
      <c r="C103" s="11">
        <f t="shared" si="4"/>
        <v>0.23858560535900958</v>
      </c>
      <c r="D103" s="11">
        <f t="shared" si="5"/>
        <v>0.3276315813357526</v>
      </c>
      <c r="E103" s="11">
        <f t="shared" si="6"/>
        <v>0.92546041819134905</v>
      </c>
    </row>
    <row r="104" spans="1:5">
      <c r="A104" s="15">
        <f t="shared" si="7"/>
        <v>33055</v>
      </c>
      <c r="B104" s="11">
        <v>0.38491147036181672</v>
      </c>
      <c r="C104" s="11">
        <f t="shared" si="4"/>
        <v>0.23858560535900958</v>
      </c>
      <c r="D104" s="11">
        <f t="shared" si="5"/>
        <v>0.3276315813357526</v>
      </c>
      <c r="E104" s="11">
        <f t="shared" si="6"/>
        <v>0.44661709474476546</v>
      </c>
    </row>
    <row r="105" spans="1:5">
      <c r="A105" s="15">
        <f t="shared" si="7"/>
        <v>33086</v>
      </c>
      <c r="B105" s="11">
        <v>0.92024539877299738</v>
      </c>
      <c r="C105" s="11">
        <f t="shared" si="4"/>
        <v>0.23858560535900958</v>
      </c>
      <c r="D105" s="11">
        <f t="shared" si="5"/>
        <v>0.3276315813357526</v>
      </c>
      <c r="E105" s="11">
        <f t="shared" si="6"/>
        <v>2.0805680289881203</v>
      </c>
    </row>
    <row r="106" spans="1:5">
      <c r="A106" s="15">
        <f t="shared" si="7"/>
        <v>33117</v>
      </c>
      <c r="B106" s="11">
        <v>0.83586626139817211</v>
      </c>
      <c r="C106" s="11">
        <f t="shared" si="4"/>
        <v>0.23858560535900958</v>
      </c>
      <c r="D106" s="11">
        <f t="shared" si="5"/>
        <v>0.3276315813357526</v>
      </c>
      <c r="E106" s="11">
        <f t="shared" si="6"/>
        <v>1.8230252822516433</v>
      </c>
    </row>
    <row r="107" spans="1:5">
      <c r="A107" s="15">
        <f t="shared" si="7"/>
        <v>33147</v>
      </c>
      <c r="B107" s="11">
        <v>0.6028636021100312</v>
      </c>
      <c r="C107" s="11">
        <f t="shared" si="4"/>
        <v>0.23858560535900958</v>
      </c>
      <c r="D107" s="11">
        <f t="shared" si="5"/>
        <v>0.3276315813357526</v>
      </c>
      <c r="E107" s="11">
        <f t="shared" si="6"/>
        <v>1.1118525120986864</v>
      </c>
    </row>
    <row r="108" spans="1:5">
      <c r="A108" s="15">
        <f t="shared" si="7"/>
        <v>33178</v>
      </c>
      <c r="B108" s="11">
        <v>0.22471910112360402</v>
      </c>
      <c r="C108" s="11">
        <f t="shared" si="4"/>
        <v>0.23858560535900958</v>
      </c>
      <c r="D108" s="11">
        <f t="shared" si="5"/>
        <v>0.3276315813357526</v>
      </c>
      <c r="E108" s="11">
        <f t="shared" si="6"/>
        <v>-4.2323466434071699E-2</v>
      </c>
    </row>
    <row r="109" spans="1:5">
      <c r="A109" s="15">
        <f t="shared" si="7"/>
        <v>33208</v>
      </c>
      <c r="B109" s="11">
        <v>0</v>
      </c>
      <c r="C109" s="11">
        <f t="shared" si="4"/>
        <v>0.23858560535900958</v>
      </c>
      <c r="D109" s="11">
        <f t="shared" si="5"/>
        <v>0.3276315813357526</v>
      </c>
      <c r="E109" s="11">
        <f t="shared" si="6"/>
        <v>-0.72821308735347512</v>
      </c>
    </row>
    <row r="110" spans="1:5">
      <c r="A110" s="15">
        <f t="shared" si="7"/>
        <v>33239</v>
      </c>
      <c r="B110" s="11">
        <v>0.59790732436471061</v>
      </c>
      <c r="C110" s="11">
        <f t="shared" si="4"/>
        <v>0.23858560535900958</v>
      </c>
      <c r="D110" s="11">
        <f t="shared" si="5"/>
        <v>0.3276315813357526</v>
      </c>
      <c r="E110" s="11">
        <f t="shared" si="6"/>
        <v>1.096724917484291</v>
      </c>
    </row>
    <row r="111" spans="1:5">
      <c r="A111" s="15">
        <f t="shared" si="7"/>
        <v>33270</v>
      </c>
      <c r="B111" s="11">
        <v>0.14858841010402457</v>
      </c>
      <c r="C111" s="11">
        <f t="shared" si="4"/>
        <v>0.23858560535900958</v>
      </c>
      <c r="D111" s="11">
        <f t="shared" si="5"/>
        <v>0.3276315813357526</v>
      </c>
      <c r="E111" s="11">
        <f t="shared" si="6"/>
        <v>-0.27469023251075741</v>
      </c>
    </row>
    <row r="112" spans="1:5">
      <c r="A112" s="15">
        <f t="shared" si="7"/>
        <v>33298</v>
      </c>
      <c r="B112" s="11">
        <v>0.14836795252224674</v>
      </c>
      <c r="C112" s="11">
        <f t="shared" si="4"/>
        <v>0.23858560535900958</v>
      </c>
      <c r="D112" s="11">
        <f t="shared" si="5"/>
        <v>0.3276315813357526</v>
      </c>
      <c r="E112" s="11">
        <f t="shared" si="6"/>
        <v>-0.27536311508477246</v>
      </c>
    </row>
    <row r="113" spans="1:5">
      <c r="A113" s="15">
        <f t="shared" si="7"/>
        <v>33329</v>
      </c>
      <c r="B113" s="11">
        <v>0.14814814814813973</v>
      </c>
      <c r="C113" s="11">
        <f t="shared" si="4"/>
        <v>0.23858560535900958</v>
      </c>
      <c r="D113" s="11">
        <f t="shared" si="5"/>
        <v>0.3276315813357526</v>
      </c>
      <c r="E113" s="11">
        <f t="shared" si="6"/>
        <v>-0.27603400393257788</v>
      </c>
    </row>
    <row r="114" spans="1:5">
      <c r="A114" s="15">
        <f t="shared" si="7"/>
        <v>33359</v>
      </c>
      <c r="B114" s="11">
        <v>0.2958579881656847</v>
      </c>
      <c r="C114" s="11">
        <f t="shared" si="4"/>
        <v>0.23858560535900958</v>
      </c>
      <c r="D114" s="11">
        <f t="shared" si="5"/>
        <v>0.3276315813357526</v>
      </c>
      <c r="E114" s="11">
        <f t="shared" si="6"/>
        <v>0.17480727154926842</v>
      </c>
    </row>
    <row r="115" spans="1:5">
      <c r="A115" s="15">
        <f t="shared" si="7"/>
        <v>33390</v>
      </c>
      <c r="B115" s="11">
        <v>0.29498525073746734</v>
      </c>
      <c r="C115" s="11">
        <f t="shared" si="4"/>
        <v>0.23858560535900958</v>
      </c>
      <c r="D115" s="11">
        <f t="shared" si="5"/>
        <v>0.3276315813357526</v>
      </c>
      <c r="E115" s="11">
        <f t="shared" si="6"/>
        <v>0.17214349467934881</v>
      </c>
    </row>
    <row r="116" spans="1:5">
      <c r="A116" s="15">
        <f t="shared" si="7"/>
        <v>33420</v>
      </c>
      <c r="B116" s="11">
        <v>0.14705882352940342</v>
      </c>
      <c r="C116" s="11">
        <f t="shared" si="4"/>
        <v>0.23858560535900958</v>
      </c>
      <c r="D116" s="11">
        <f t="shared" si="5"/>
        <v>0.3276315813357526</v>
      </c>
      <c r="E116" s="11">
        <f t="shared" si="6"/>
        <v>-0.27935885013420214</v>
      </c>
    </row>
    <row r="117" spans="1:5">
      <c r="A117" s="15">
        <f t="shared" si="7"/>
        <v>33451</v>
      </c>
      <c r="B117" s="11">
        <v>0.29368575624082649</v>
      </c>
      <c r="C117" s="11">
        <f t="shared" si="4"/>
        <v>0.23858560535900958</v>
      </c>
      <c r="D117" s="11">
        <f t="shared" si="5"/>
        <v>0.3276315813357526</v>
      </c>
      <c r="E117" s="11">
        <f t="shared" si="6"/>
        <v>0.16817716612413805</v>
      </c>
    </row>
    <row r="118" spans="1:5">
      <c r="A118" s="15">
        <f t="shared" si="7"/>
        <v>33482</v>
      </c>
      <c r="B118" s="11">
        <v>0.43923865300145998</v>
      </c>
      <c r="C118" s="11">
        <f t="shared" si="4"/>
        <v>0.23858560535900958</v>
      </c>
      <c r="D118" s="11">
        <f t="shared" si="5"/>
        <v>0.3276315813357526</v>
      </c>
      <c r="E118" s="11">
        <f t="shared" si="6"/>
        <v>0.61243500038790144</v>
      </c>
    </row>
    <row r="119" spans="1:5">
      <c r="A119" s="15">
        <f t="shared" si="7"/>
        <v>33512</v>
      </c>
      <c r="B119" s="11">
        <v>0.14577259475219903</v>
      </c>
      <c r="C119" s="11">
        <f t="shared" si="4"/>
        <v>0.23858560535900958</v>
      </c>
      <c r="D119" s="11">
        <f t="shared" si="5"/>
        <v>0.3276315813357526</v>
      </c>
      <c r="E119" s="11">
        <f t="shared" si="6"/>
        <v>-0.2832846889436369</v>
      </c>
    </row>
    <row r="120" spans="1:5">
      <c r="A120" s="15">
        <f t="shared" si="7"/>
        <v>33543</v>
      </c>
      <c r="B120" s="11">
        <v>0.29112081513828653</v>
      </c>
      <c r="C120" s="11">
        <f t="shared" si="4"/>
        <v>0.23858560535900958</v>
      </c>
      <c r="D120" s="11">
        <f t="shared" si="5"/>
        <v>0.3276315813357526</v>
      </c>
      <c r="E120" s="11">
        <f t="shared" si="6"/>
        <v>0.16034843028590565</v>
      </c>
    </row>
    <row r="121" spans="1:5">
      <c r="A121" s="15">
        <f t="shared" si="7"/>
        <v>33573</v>
      </c>
      <c r="B121" s="11">
        <v>7.256894049346467E-2</v>
      </c>
      <c r="C121" s="11">
        <f t="shared" si="4"/>
        <v>0.23858560535900958</v>
      </c>
      <c r="D121" s="11">
        <f t="shared" si="5"/>
        <v>0.3276315813357526</v>
      </c>
      <c r="E121" s="11">
        <f t="shared" si="6"/>
        <v>-0.50671752762262923</v>
      </c>
    </row>
    <row r="122" spans="1:5">
      <c r="A122" s="15">
        <f t="shared" si="7"/>
        <v>33604</v>
      </c>
      <c r="B122" s="11">
        <v>0.14503263234226876</v>
      </c>
      <c r="C122" s="11">
        <f t="shared" si="4"/>
        <v>0.23858560535900958</v>
      </c>
      <c r="D122" s="11">
        <f t="shared" si="5"/>
        <v>0.3276315813357526</v>
      </c>
      <c r="E122" s="11">
        <f t="shared" si="6"/>
        <v>-0.28554320873258227</v>
      </c>
    </row>
    <row r="123" spans="1:5">
      <c r="A123" s="15">
        <f t="shared" si="7"/>
        <v>33635</v>
      </c>
      <c r="B123" s="11">
        <v>0.3620564808110065</v>
      </c>
      <c r="C123" s="11">
        <f t="shared" si="4"/>
        <v>0.23858560535900958</v>
      </c>
      <c r="D123" s="11">
        <f t="shared" si="5"/>
        <v>0.3276315813357526</v>
      </c>
      <c r="E123" s="11">
        <f t="shared" si="6"/>
        <v>0.3768588942146745</v>
      </c>
    </row>
    <row r="124" spans="1:5">
      <c r="A124" s="15">
        <f t="shared" si="7"/>
        <v>33664</v>
      </c>
      <c r="B124" s="11">
        <v>0.50505050505051741</v>
      </c>
      <c r="C124" s="11">
        <f t="shared" si="4"/>
        <v>0.23858560535900958</v>
      </c>
      <c r="D124" s="11">
        <f t="shared" si="5"/>
        <v>0.3276315813357526</v>
      </c>
      <c r="E124" s="11">
        <f t="shared" si="6"/>
        <v>0.81330651521789055</v>
      </c>
    </row>
    <row r="125" spans="1:5">
      <c r="A125" s="15">
        <f t="shared" si="7"/>
        <v>33695</v>
      </c>
      <c r="B125" s="11">
        <v>0.14357501794686908</v>
      </c>
      <c r="C125" s="11">
        <f t="shared" si="4"/>
        <v>0.23858560535900958</v>
      </c>
      <c r="D125" s="11">
        <f t="shared" si="5"/>
        <v>0.3276315813357526</v>
      </c>
      <c r="E125" s="11">
        <f t="shared" si="6"/>
        <v>-0.28999215223630986</v>
      </c>
    </row>
    <row r="126" spans="1:5">
      <c r="A126" s="15">
        <f t="shared" si="7"/>
        <v>33725</v>
      </c>
      <c r="B126" s="11">
        <v>0.143369175627232</v>
      </c>
      <c r="C126" s="11">
        <f t="shared" si="4"/>
        <v>0.23858560535900958</v>
      </c>
      <c r="D126" s="11">
        <f t="shared" si="5"/>
        <v>0.3276315813357526</v>
      </c>
      <c r="E126" s="11">
        <f t="shared" si="6"/>
        <v>-0.29062042597841325</v>
      </c>
    </row>
    <row r="127" spans="1:5">
      <c r="A127" s="15">
        <f t="shared" si="7"/>
        <v>33756</v>
      </c>
      <c r="B127" s="11">
        <v>0.35790980672870443</v>
      </c>
      <c r="C127" s="11">
        <f t="shared" si="4"/>
        <v>0.23858560535900958</v>
      </c>
      <c r="D127" s="11">
        <f t="shared" si="5"/>
        <v>0.3276315813357526</v>
      </c>
      <c r="E127" s="11">
        <f t="shared" si="6"/>
        <v>0.36420237903565517</v>
      </c>
    </row>
    <row r="128" spans="1:5">
      <c r="A128" s="15">
        <f t="shared" si="7"/>
        <v>33786</v>
      </c>
      <c r="B128" s="11">
        <v>0.2139800285306786</v>
      </c>
      <c r="C128" s="11">
        <f t="shared" si="4"/>
        <v>0.23858560535900958</v>
      </c>
      <c r="D128" s="11">
        <f t="shared" si="5"/>
        <v>0.3276315813357526</v>
      </c>
      <c r="E128" s="11">
        <f t="shared" si="6"/>
        <v>-7.5101358446625147E-2</v>
      </c>
    </row>
    <row r="129" spans="1:5">
      <c r="A129" s="15">
        <f t="shared" si="7"/>
        <v>33817</v>
      </c>
      <c r="B129" s="11">
        <v>0.28469750889680123</v>
      </c>
      <c r="C129" s="11">
        <f t="shared" si="4"/>
        <v>0.23858560535900958</v>
      </c>
      <c r="D129" s="11">
        <f t="shared" si="5"/>
        <v>0.3276315813357526</v>
      </c>
      <c r="E129" s="11">
        <f t="shared" si="6"/>
        <v>0.14074315836646031</v>
      </c>
    </row>
    <row r="130" spans="1:5">
      <c r="A130" s="15">
        <f t="shared" si="7"/>
        <v>33848</v>
      </c>
      <c r="B130" s="11">
        <v>0.28388928317956402</v>
      </c>
      <c r="C130" s="11">
        <f t="shared" si="4"/>
        <v>0.23858560535900958</v>
      </c>
      <c r="D130" s="11">
        <f t="shared" si="5"/>
        <v>0.3276315813357526</v>
      </c>
      <c r="E130" s="11">
        <f t="shared" si="6"/>
        <v>0.13827628470934195</v>
      </c>
    </row>
    <row r="131" spans="1:5">
      <c r="A131" s="15">
        <f t="shared" si="7"/>
        <v>33878</v>
      </c>
      <c r="B131" s="11">
        <v>0.35385704175513089</v>
      </c>
      <c r="C131" s="11">
        <f t="shared" ref="C131:C194" si="8">AVERAGE($B$2:$B$541)</f>
        <v>0.23858560535900958</v>
      </c>
      <c r="D131" s="11">
        <f t="shared" ref="D131:D194" si="9">_xlfn.STDEV.S($B$2:$B$541)</f>
        <v>0.3276315813357526</v>
      </c>
      <c r="E131" s="11">
        <f t="shared" ref="E131:E194" si="10">(B131-C131)/D131</f>
        <v>0.35183249406592654</v>
      </c>
    </row>
    <row r="132" spans="1:5">
      <c r="A132" s="15">
        <f t="shared" ref="A132:A195" si="11">EDATE(A131,1)</f>
        <v>33909</v>
      </c>
      <c r="B132" s="11">
        <v>0.14104372355429382</v>
      </c>
      <c r="C132" s="11">
        <f t="shared" si="8"/>
        <v>0.23858560535900958</v>
      </c>
      <c r="D132" s="11">
        <f t="shared" si="9"/>
        <v>0.3276315813357526</v>
      </c>
      <c r="E132" s="11">
        <f t="shared" si="10"/>
        <v>-0.29771819128985649</v>
      </c>
    </row>
    <row r="133" spans="1:5">
      <c r="A133" s="15">
        <f t="shared" si="11"/>
        <v>33939</v>
      </c>
      <c r="B133" s="11">
        <v>-7.0422535211263598E-2</v>
      </c>
      <c r="C133" s="11">
        <f t="shared" si="8"/>
        <v>0.23858560535900958</v>
      </c>
      <c r="D133" s="11">
        <f t="shared" si="9"/>
        <v>0.3276315813357526</v>
      </c>
      <c r="E133" s="11">
        <f t="shared" si="10"/>
        <v>-0.94315736996552113</v>
      </c>
    </row>
    <row r="134" spans="1:5">
      <c r="A134" s="15">
        <f t="shared" si="11"/>
        <v>33970</v>
      </c>
      <c r="B134" s="11">
        <v>0.49330514446792717</v>
      </c>
      <c r="C134" s="11">
        <f t="shared" si="8"/>
        <v>0.23858560535900958</v>
      </c>
      <c r="D134" s="11">
        <f t="shared" si="9"/>
        <v>0.3276315813357526</v>
      </c>
      <c r="E134" s="11">
        <f t="shared" si="10"/>
        <v>0.77745722213477431</v>
      </c>
    </row>
    <row r="135" spans="1:5">
      <c r="A135" s="15">
        <f t="shared" si="11"/>
        <v>34001</v>
      </c>
      <c r="B135" s="11">
        <v>0.35063113604488083</v>
      </c>
      <c r="C135" s="11">
        <f t="shared" si="8"/>
        <v>0.23858560535900958</v>
      </c>
      <c r="D135" s="11">
        <f t="shared" si="9"/>
        <v>0.3276315813357526</v>
      </c>
      <c r="E135" s="11">
        <f t="shared" si="10"/>
        <v>0.34198635622689999</v>
      </c>
    </row>
    <row r="136" spans="1:5">
      <c r="A136" s="15">
        <f t="shared" si="11"/>
        <v>34029</v>
      </c>
      <c r="B136" s="11">
        <v>0.34940600978336828</v>
      </c>
      <c r="C136" s="11">
        <f t="shared" si="8"/>
        <v>0.23858560535900958</v>
      </c>
      <c r="D136" s="11">
        <f t="shared" si="9"/>
        <v>0.3276315813357526</v>
      </c>
      <c r="E136" s="11">
        <f t="shared" si="10"/>
        <v>0.33824701505436189</v>
      </c>
    </row>
    <row r="137" spans="1:5">
      <c r="A137" s="15">
        <f t="shared" si="11"/>
        <v>34060</v>
      </c>
      <c r="B137" s="11">
        <v>0.27855153203343019</v>
      </c>
      <c r="C137" s="11">
        <f t="shared" si="8"/>
        <v>0.23858560535900958</v>
      </c>
      <c r="D137" s="11">
        <f t="shared" si="9"/>
        <v>0.3276315813357526</v>
      </c>
      <c r="E137" s="11">
        <f t="shared" si="10"/>
        <v>0.12198435361902445</v>
      </c>
    </row>
    <row r="138" spans="1:5">
      <c r="A138" s="15">
        <f t="shared" si="11"/>
        <v>34090</v>
      </c>
      <c r="B138" s="11">
        <v>0.13888888888888101</v>
      </c>
      <c r="C138" s="11">
        <f t="shared" si="8"/>
        <v>0.23858560535900958</v>
      </c>
      <c r="D138" s="11">
        <f t="shared" si="9"/>
        <v>0.3276315813357526</v>
      </c>
      <c r="E138" s="11">
        <f t="shared" si="10"/>
        <v>-0.30429519664638394</v>
      </c>
    </row>
    <row r="139" spans="1:5">
      <c r="A139" s="15">
        <f t="shared" si="11"/>
        <v>34121</v>
      </c>
      <c r="B139" s="11">
        <v>0.13869625520112142</v>
      </c>
      <c r="C139" s="11">
        <f t="shared" si="8"/>
        <v>0.23858560535900958</v>
      </c>
      <c r="D139" s="11">
        <f t="shared" si="9"/>
        <v>0.3276315813357526</v>
      </c>
      <c r="E139" s="11">
        <f t="shared" si="10"/>
        <v>-0.30488315488586204</v>
      </c>
    </row>
    <row r="140" spans="1:5">
      <c r="A140" s="15">
        <f t="shared" si="11"/>
        <v>34151</v>
      </c>
      <c r="B140" s="11">
        <v>0</v>
      </c>
      <c r="C140" s="11">
        <f t="shared" si="8"/>
        <v>0.23858560535900958</v>
      </c>
      <c r="D140" s="11">
        <f t="shared" si="9"/>
        <v>0.3276315813357526</v>
      </c>
      <c r="E140" s="11">
        <f t="shared" si="10"/>
        <v>-0.72821308735347512</v>
      </c>
    </row>
    <row r="141" spans="1:5">
      <c r="A141" s="15">
        <f t="shared" si="11"/>
        <v>34182</v>
      </c>
      <c r="B141" s="11">
        <v>0.27700831024931144</v>
      </c>
      <c r="C141" s="11">
        <f t="shared" si="8"/>
        <v>0.23858560535900958</v>
      </c>
      <c r="D141" s="11">
        <f t="shared" si="9"/>
        <v>0.3276315813357526</v>
      </c>
      <c r="E141" s="11">
        <f t="shared" si="10"/>
        <v>0.11727411848898282</v>
      </c>
    </row>
    <row r="142" spans="1:5">
      <c r="A142" s="15">
        <f t="shared" si="11"/>
        <v>34213</v>
      </c>
      <c r="B142" s="11">
        <v>0.20718232044197715</v>
      </c>
      <c r="C142" s="11">
        <f t="shared" si="8"/>
        <v>0.23858560535900958</v>
      </c>
      <c r="D142" s="11">
        <f t="shared" si="9"/>
        <v>0.3276315813357526</v>
      </c>
      <c r="E142" s="11">
        <f t="shared" si="10"/>
        <v>-9.5849382983781248E-2</v>
      </c>
    </row>
    <row r="143" spans="1:5">
      <c r="A143" s="15">
        <f t="shared" si="11"/>
        <v>34243</v>
      </c>
      <c r="B143" s="11">
        <v>0.41350792556856947</v>
      </c>
      <c r="C143" s="11">
        <f t="shared" si="8"/>
        <v>0.23858560535900958</v>
      </c>
      <c r="D143" s="11">
        <f t="shared" si="9"/>
        <v>0.3276315813357526</v>
      </c>
      <c r="E143" s="11">
        <f t="shared" si="10"/>
        <v>0.53389944734998473</v>
      </c>
    </row>
    <row r="144" spans="1:5">
      <c r="A144" s="15">
        <f t="shared" si="11"/>
        <v>34274</v>
      </c>
      <c r="B144" s="11">
        <v>6.8634179821566749E-2</v>
      </c>
      <c r="C144" s="11">
        <f t="shared" si="8"/>
        <v>0.23858560535900958</v>
      </c>
      <c r="D144" s="11">
        <f t="shared" si="9"/>
        <v>0.3276315813357526</v>
      </c>
      <c r="E144" s="11">
        <f t="shared" si="10"/>
        <v>-0.51872723882280081</v>
      </c>
    </row>
    <row r="145" spans="1:5">
      <c r="A145" s="15">
        <f t="shared" si="11"/>
        <v>34304</v>
      </c>
      <c r="B145" s="11">
        <v>0</v>
      </c>
      <c r="C145" s="11">
        <f t="shared" si="8"/>
        <v>0.23858560535900958</v>
      </c>
      <c r="D145" s="11">
        <f t="shared" si="9"/>
        <v>0.3276315813357526</v>
      </c>
      <c r="E145" s="11">
        <f t="shared" si="10"/>
        <v>-0.72821308735347512</v>
      </c>
    </row>
    <row r="146" spans="1:5">
      <c r="A146" s="15">
        <f t="shared" si="11"/>
        <v>34335</v>
      </c>
      <c r="B146" s="11">
        <v>0.274348422496555</v>
      </c>
      <c r="C146" s="11">
        <f t="shared" si="8"/>
        <v>0.23858560535900958</v>
      </c>
      <c r="D146" s="11">
        <f t="shared" si="9"/>
        <v>0.3276315813357526</v>
      </c>
      <c r="E146" s="11">
        <f t="shared" si="10"/>
        <v>0.10915558564818618</v>
      </c>
    </row>
    <row r="147" spans="1:5">
      <c r="A147" s="15">
        <f t="shared" si="11"/>
        <v>34366</v>
      </c>
      <c r="B147" s="11">
        <v>0.34199726402188785</v>
      </c>
      <c r="C147" s="11">
        <f t="shared" si="8"/>
        <v>0.23858560535900958</v>
      </c>
      <c r="D147" s="11">
        <f t="shared" si="9"/>
        <v>0.3276315813357526</v>
      </c>
      <c r="E147" s="11">
        <f t="shared" si="10"/>
        <v>0.31563397594721904</v>
      </c>
    </row>
    <row r="148" spans="1:5">
      <c r="A148" s="15">
        <f t="shared" si="11"/>
        <v>34394</v>
      </c>
      <c r="B148" s="11">
        <v>0.3408316291751875</v>
      </c>
      <c r="C148" s="11">
        <f t="shared" si="8"/>
        <v>0.23858560535900958</v>
      </c>
      <c r="D148" s="11">
        <f t="shared" si="9"/>
        <v>0.3276315813357526</v>
      </c>
      <c r="E148" s="11">
        <f t="shared" si="10"/>
        <v>0.31207621499527399</v>
      </c>
    </row>
    <row r="149" spans="1:5">
      <c r="A149" s="15">
        <f t="shared" si="11"/>
        <v>34425</v>
      </c>
      <c r="B149" s="11">
        <v>0.1358695652174029</v>
      </c>
      <c r="C149" s="11">
        <f t="shared" si="8"/>
        <v>0.23858560535900958</v>
      </c>
      <c r="D149" s="11">
        <f t="shared" si="9"/>
        <v>0.3276315813357526</v>
      </c>
      <c r="E149" s="11">
        <f t="shared" si="10"/>
        <v>-0.31351080296604439</v>
      </c>
    </row>
    <row r="150" spans="1:5">
      <c r="A150" s="15">
        <f t="shared" si="11"/>
        <v>34455</v>
      </c>
      <c r="B150" s="11">
        <v>6.7842605156034144E-2</v>
      </c>
      <c r="C150" s="11">
        <f t="shared" si="8"/>
        <v>0.23858560535900958</v>
      </c>
      <c r="D150" s="11">
        <f t="shared" si="9"/>
        <v>0.3276315813357526</v>
      </c>
      <c r="E150" s="11">
        <f t="shared" si="10"/>
        <v>-0.52114328999315918</v>
      </c>
    </row>
    <row r="151" spans="1:5">
      <c r="A151" s="15">
        <f t="shared" si="11"/>
        <v>34486</v>
      </c>
      <c r="B151" s="11">
        <v>0.33898305084745761</v>
      </c>
      <c r="C151" s="11">
        <f t="shared" si="8"/>
        <v>0.23858560535900958</v>
      </c>
      <c r="D151" s="11">
        <f t="shared" si="9"/>
        <v>0.3276315813357526</v>
      </c>
      <c r="E151" s="11">
        <f t="shared" si="10"/>
        <v>0.30643396793168737</v>
      </c>
    </row>
    <row r="152" spans="1:5">
      <c r="A152" s="15">
        <f t="shared" si="11"/>
        <v>34516</v>
      </c>
      <c r="B152" s="11">
        <v>0.27027027027027412</v>
      </c>
      <c r="C152" s="11">
        <f t="shared" si="8"/>
        <v>0.23858560535900958</v>
      </c>
      <c r="D152" s="11">
        <f t="shared" si="9"/>
        <v>0.3276315813357526</v>
      </c>
      <c r="E152" s="11">
        <f t="shared" si="10"/>
        <v>9.6708213482004049E-2</v>
      </c>
    </row>
    <row r="153" spans="1:5">
      <c r="A153" s="15">
        <f t="shared" si="11"/>
        <v>34547</v>
      </c>
      <c r="B153" s="11">
        <v>0.40431266846360797</v>
      </c>
      <c r="C153" s="11">
        <f t="shared" si="8"/>
        <v>0.23858560535900958</v>
      </c>
      <c r="D153" s="11">
        <f t="shared" si="9"/>
        <v>0.3276315813357526</v>
      </c>
      <c r="E153" s="11">
        <f t="shared" si="10"/>
        <v>0.50583360257558152</v>
      </c>
    </row>
    <row r="154" spans="1:5">
      <c r="A154" s="15">
        <f t="shared" si="11"/>
        <v>34578</v>
      </c>
      <c r="B154" s="11">
        <v>0.26845637583892995</v>
      </c>
      <c r="C154" s="11">
        <f t="shared" si="8"/>
        <v>0.23858560535900958</v>
      </c>
      <c r="D154" s="11">
        <f t="shared" si="9"/>
        <v>0.3276315813357526</v>
      </c>
      <c r="E154" s="11">
        <f t="shared" si="10"/>
        <v>9.1171828912638295E-2</v>
      </c>
    </row>
    <row r="155" spans="1:5">
      <c r="A155" s="15">
        <f t="shared" si="11"/>
        <v>34608</v>
      </c>
      <c r="B155" s="11">
        <v>6.6934404283798071E-2</v>
      </c>
      <c r="C155" s="11">
        <f t="shared" si="8"/>
        <v>0.23858560535900958</v>
      </c>
      <c r="D155" s="11">
        <f t="shared" si="9"/>
        <v>0.3276315813357526</v>
      </c>
      <c r="E155" s="11">
        <f t="shared" si="10"/>
        <v>-0.52391530869945524</v>
      </c>
    </row>
    <row r="156" spans="1:5">
      <c r="A156" s="15">
        <f t="shared" si="11"/>
        <v>34639</v>
      </c>
      <c r="B156" s="11">
        <v>0.13377926421403924</v>
      </c>
      <c r="C156" s="11">
        <f t="shared" si="8"/>
        <v>0.23858560535900958</v>
      </c>
      <c r="D156" s="11">
        <f t="shared" si="9"/>
        <v>0.3276315813357526</v>
      </c>
      <c r="E156" s="11">
        <f t="shared" si="10"/>
        <v>-0.31989083811052438</v>
      </c>
    </row>
    <row r="157" spans="1:5">
      <c r="A157" s="15">
        <f t="shared" si="11"/>
        <v>34669</v>
      </c>
      <c r="B157" s="11">
        <v>0</v>
      </c>
      <c r="C157" s="11">
        <f t="shared" si="8"/>
        <v>0.23858560535900958</v>
      </c>
      <c r="D157" s="11">
        <f t="shared" si="9"/>
        <v>0.3276315813357526</v>
      </c>
      <c r="E157" s="11">
        <f t="shared" si="10"/>
        <v>-0.72821308735347512</v>
      </c>
    </row>
    <row r="158" spans="1:5">
      <c r="A158" s="15">
        <f t="shared" si="11"/>
        <v>34700</v>
      </c>
      <c r="B158" s="11">
        <v>0.40080160320642805</v>
      </c>
      <c r="C158" s="11">
        <f t="shared" si="8"/>
        <v>0.23858560535900958</v>
      </c>
      <c r="D158" s="11">
        <f t="shared" si="9"/>
        <v>0.3276315813357526</v>
      </c>
      <c r="E158" s="11">
        <f t="shared" si="10"/>
        <v>0.49511709825427852</v>
      </c>
    </row>
    <row r="159" spans="1:5">
      <c r="A159" s="15">
        <f t="shared" si="11"/>
        <v>34731</v>
      </c>
      <c r="B159" s="11">
        <v>0.3992015968063834</v>
      </c>
      <c r="C159" s="11">
        <f t="shared" si="8"/>
        <v>0.23858560535900958</v>
      </c>
      <c r="D159" s="11">
        <f t="shared" si="9"/>
        <v>0.3276315813357526</v>
      </c>
      <c r="E159" s="11">
        <f t="shared" si="10"/>
        <v>0.49023354461905988</v>
      </c>
    </row>
    <row r="160" spans="1:5">
      <c r="A160" s="15">
        <f t="shared" si="11"/>
        <v>34759</v>
      </c>
      <c r="B160" s="11">
        <v>0.33134526176275675</v>
      </c>
      <c r="C160" s="11">
        <f t="shared" si="8"/>
        <v>0.23858560535900958</v>
      </c>
      <c r="D160" s="11">
        <f t="shared" si="9"/>
        <v>0.3276315813357526</v>
      </c>
      <c r="E160" s="11">
        <f t="shared" si="10"/>
        <v>0.28312184077483138</v>
      </c>
    </row>
    <row r="161" spans="1:5">
      <c r="A161" s="15">
        <f t="shared" si="11"/>
        <v>34790</v>
      </c>
      <c r="B161" s="11">
        <v>0.33025099075297221</v>
      </c>
      <c r="C161" s="11">
        <f t="shared" si="8"/>
        <v>0.23858560535900958</v>
      </c>
      <c r="D161" s="11">
        <f t="shared" si="9"/>
        <v>0.3276315813357526</v>
      </c>
      <c r="E161" s="11">
        <f t="shared" si="10"/>
        <v>0.2797818971548568</v>
      </c>
    </row>
    <row r="162" spans="1:5">
      <c r="A162" s="15">
        <f t="shared" si="11"/>
        <v>34820</v>
      </c>
      <c r="B162" s="11">
        <v>0.19749835418037062</v>
      </c>
      <c r="C162" s="11">
        <f t="shared" si="8"/>
        <v>0.23858560535900958</v>
      </c>
      <c r="D162" s="11">
        <f t="shared" si="9"/>
        <v>0.3276315813357526</v>
      </c>
      <c r="E162" s="11">
        <f t="shared" si="10"/>
        <v>-0.12540687015313481</v>
      </c>
    </row>
    <row r="163" spans="1:5">
      <c r="A163" s="15">
        <f t="shared" si="11"/>
        <v>34851</v>
      </c>
      <c r="B163" s="11">
        <v>0.19710906701709027</v>
      </c>
      <c r="C163" s="11">
        <f t="shared" si="8"/>
        <v>0.23858560535900958</v>
      </c>
      <c r="D163" s="11">
        <f t="shared" si="9"/>
        <v>0.3276315813357526</v>
      </c>
      <c r="E163" s="11">
        <f t="shared" si="10"/>
        <v>-0.12659505586372238</v>
      </c>
    </row>
    <row r="164" spans="1:5">
      <c r="A164" s="15">
        <f t="shared" si="11"/>
        <v>34881</v>
      </c>
      <c r="B164" s="11">
        <v>0</v>
      </c>
      <c r="C164" s="11">
        <f t="shared" si="8"/>
        <v>0.23858560535900958</v>
      </c>
      <c r="D164" s="11">
        <f t="shared" si="9"/>
        <v>0.3276315813357526</v>
      </c>
      <c r="E164" s="11">
        <f t="shared" si="10"/>
        <v>-0.72821308735347512</v>
      </c>
    </row>
    <row r="165" spans="1:5">
      <c r="A165" s="15">
        <f t="shared" si="11"/>
        <v>34912</v>
      </c>
      <c r="B165" s="11">
        <v>0.26229508196721685</v>
      </c>
      <c r="C165" s="11">
        <f t="shared" si="8"/>
        <v>0.23858560535900958</v>
      </c>
      <c r="D165" s="11">
        <f t="shared" si="9"/>
        <v>0.3276315813357526</v>
      </c>
      <c r="E165" s="11">
        <f t="shared" si="10"/>
        <v>7.2366273457350569E-2</v>
      </c>
    </row>
    <row r="166" spans="1:5">
      <c r="A166" s="15">
        <f t="shared" si="11"/>
        <v>34943</v>
      </c>
      <c r="B166" s="11">
        <v>0.19620667102680378</v>
      </c>
      <c r="C166" s="11">
        <f t="shared" si="8"/>
        <v>0.23858560535900958</v>
      </c>
      <c r="D166" s="11">
        <f t="shared" si="9"/>
        <v>0.3276315813357526</v>
      </c>
      <c r="E166" s="11">
        <f t="shared" si="10"/>
        <v>-0.129349356858173</v>
      </c>
    </row>
    <row r="167" spans="1:5">
      <c r="A167" s="15">
        <f t="shared" si="11"/>
        <v>34973</v>
      </c>
      <c r="B167" s="11">
        <v>0.32637075718015668</v>
      </c>
      <c r="C167" s="11">
        <f t="shared" si="8"/>
        <v>0.23858560535900958</v>
      </c>
      <c r="D167" s="11">
        <f t="shared" si="9"/>
        <v>0.3276315813357526</v>
      </c>
      <c r="E167" s="11">
        <f t="shared" si="10"/>
        <v>0.26793861404705677</v>
      </c>
    </row>
    <row r="168" spans="1:5">
      <c r="A168" s="15">
        <f t="shared" si="11"/>
        <v>35004</v>
      </c>
      <c r="B168" s="11">
        <v>-6.5061808718278671E-2</v>
      </c>
      <c r="C168" s="11">
        <f t="shared" si="8"/>
        <v>0.23858560535900958</v>
      </c>
      <c r="D168" s="11">
        <f t="shared" si="9"/>
        <v>0.3276315813357526</v>
      </c>
      <c r="E168" s="11">
        <f t="shared" si="10"/>
        <v>-0.92679531331906095</v>
      </c>
    </row>
    <row r="169" spans="1:5">
      <c r="A169" s="15">
        <f t="shared" si="11"/>
        <v>35034</v>
      </c>
      <c r="B169" s="11">
        <v>-6.5104166666662966E-2</v>
      </c>
      <c r="C169" s="11">
        <f t="shared" si="8"/>
        <v>0.23858560535900958</v>
      </c>
      <c r="D169" s="11">
        <f t="shared" si="9"/>
        <v>0.3276315813357526</v>
      </c>
      <c r="E169" s="11">
        <f t="shared" si="10"/>
        <v>-0.92692459862242405</v>
      </c>
    </row>
    <row r="170" spans="1:5">
      <c r="A170" s="15">
        <f t="shared" si="11"/>
        <v>35065</v>
      </c>
      <c r="B170" s="11">
        <v>0.58631921824104605</v>
      </c>
      <c r="C170" s="11">
        <f t="shared" si="8"/>
        <v>0.23858560535900958</v>
      </c>
      <c r="D170" s="11">
        <f t="shared" si="9"/>
        <v>0.3276315813357526</v>
      </c>
      <c r="E170" s="11">
        <f t="shared" si="10"/>
        <v>1.0613555978466056</v>
      </c>
    </row>
    <row r="171" spans="1:5">
      <c r="A171" s="15">
        <f t="shared" si="11"/>
        <v>35096</v>
      </c>
      <c r="B171" s="11">
        <v>0.32383419689119169</v>
      </c>
      <c r="C171" s="11">
        <f t="shared" si="8"/>
        <v>0.23858560535900958</v>
      </c>
      <c r="D171" s="11">
        <f t="shared" si="9"/>
        <v>0.3276315813357526</v>
      </c>
      <c r="E171" s="11">
        <f t="shared" si="10"/>
        <v>0.26019650237814063</v>
      </c>
    </row>
    <row r="172" spans="1:5">
      <c r="A172" s="15">
        <f t="shared" si="11"/>
        <v>35125</v>
      </c>
      <c r="B172" s="11">
        <v>0.51646223369914968</v>
      </c>
      <c r="C172" s="11">
        <f t="shared" si="8"/>
        <v>0.23858560535900958</v>
      </c>
      <c r="D172" s="11">
        <f t="shared" si="9"/>
        <v>0.3276315813357526</v>
      </c>
      <c r="E172" s="11">
        <f t="shared" si="10"/>
        <v>0.84813749397185167</v>
      </c>
    </row>
    <row r="173" spans="1:5">
      <c r="A173" s="15">
        <f t="shared" si="11"/>
        <v>35156</v>
      </c>
      <c r="B173" s="11">
        <v>0.38535645472063118</v>
      </c>
      <c r="C173" s="11">
        <f t="shared" si="8"/>
        <v>0.23858560535900958</v>
      </c>
      <c r="D173" s="11">
        <f t="shared" si="9"/>
        <v>0.3276315813357526</v>
      </c>
      <c r="E173" s="11">
        <f t="shared" si="10"/>
        <v>0.44797527992642666</v>
      </c>
    </row>
    <row r="174" spans="1:5">
      <c r="A174" s="15">
        <f t="shared" si="11"/>
        <v>35186</v>
      </c>
      <c r="B174" s="11">
        <v>0.19193857965449965</v>
      </c>
      <c r="C174" s="11">
        <f t="shared" si="8"/>
        <v>0.23858560535900958</v>
      </c>
      <c r="D174" s="11">
        <f t="shared" si="9"/>
        <v>0.3276315813357526</v>
      </c>
      <c r="E174" s="11">
        <f t="shared" si="10"/>
        <v>-0.14237646295979833</v>
      </c>
    </row>
    <row r="175" spans="1:5">
      <c r="A175" s="15">
        <f t="shared" si="11"/>
        <v>35217</v>
      </c>
      <c r="B175" s="11">
        <v>6.3856960408680913E-2</v>
      </c>
      <c r="C175" s="11">
        <f t="shared" si="8"/>
        <v>0.23858560535900958</v>
      </c>
      <c r="D175" s="11">
        <f t="shared" si="9"/>
        <v>0.3276315813357526</v>
      </c>
      <c r="E175" s="11">
        <f t="shared" si="10"/>
        <v>-0.5333083100168815</v>
      </c>
    </row>
    <row r="176" spans="1:5">
      <c r="A176" s="15">
        <f t="shared" si="11"/>
        <v>35247</v>
      </c>
      <c r="B176" s="11">
        <v>0.19144862795150694</v>
      </c>
      <c r="C176" s="11">
        <f t="shared" si="8"/>
        <v>0.23858560535900958</v>
      </c>
      <c r="D176" s="11">
        <f t="shared" si="9"/>
        <v>0.3276315813357526</v>
      </c>
      <c r="E176" s="11">
        <f t="shared" si="10"/>
        <v>-0.14387189786566174</v>
      </c>
    </row>
    <row r="177" spans="1:5">
      <c r="A177" s="15">
        <f t="shared" si="11"/>
        <v>35278</v>
      </c>
      <c r="B177" s="11">
        <v>0.19108280254777793</v>
      </c>
      <c r="C177" s="11">
        <f t="shared" si="8"/>
        <v>0.23858560535900958</v>
      </c>
      <c r="D177" s="11">
        <f t="shared" si="9"/>
        <v>0.3276315813357526</v>
      </c>
      <c r="E177" s="11">
        <f t="shared" si="10"/>
        <v>-0.14498847338697607</v>
      </c>
    </row>
    <row r="178" spans="1:5">
      <c r="A178" s="15">
        <f t="shared" si="11"/>
        <v>35309</v>
      </c>
      <c r="B178" s="11">
        <v>0.31786395422759056</v>
      </c>
      <c r="C178" s="11">
        <f t="shared" si="8"/>
        <v>0.23858560535900958</v>
      </c>
      <c r="D178" s="11">
        <f t="shared" si="9"/>
        <v>0.3276315813357526</v>
      </c>
      <c r="E178" s="11">
        <f t="shared" si="10"/>
        <v>0.24197407510400396</v>
      </c>
    </row>
    <row r="179" spans="1:5">
      <c r="A179" s="15">
        <f t="shared" si="11"/>
        <v>35339</v>
      </c>
      <c r="B179" s="11">
        <v>0.3168567807351077</v>
      </c>
      <c r="C179" s="11">
        <f t="shared" si="8"/>
        <v>0.23858560535900958</v>
      </c>
      <c r="D179" s="11">
        <f t="shared" si="9"/>
        <v>0.3276315813357526</v>
      </c>
      <c r="E179" s="11">
        <f t="shared" si="10"/>
        <v>0.23889997129393592</v>
      </c>
    </row>
    <row r="180" spans="1:5">
      <c r="A180" s="15">
        <f t="shared" si="11"/>
        <v>35370</v>
      </c>
      <c r="B180" s="11">
        <v>0.18951358180668537</v>
      </c>
      <c r="C180" s="11">
        <f t="shared" si="8"/>
        <v>0.23858560535900958</v>
      </c>
      <c r="D180" s="11">
        <f t="shared" si="9"/>
        <v>0.3276315813357526</v>
      </c>
      <c r="E180" s="11">
        <f t="shared" si="10"/>
        <v>-0.14977806276262431</v>
      </c>
    </row>
    <row r="181" spans="1:5">
      <c r="A181" s="15">
        <f t="shared" si="11"/>
        <v>35400</v>
      </c>
      <c r="B181" s="11">
        <v>0</v>
      </c>
      <c r="C181" s="11">
        <f t="shared" si="8"/>
        <v>0.23858560535900958</v>
      </c>
      <c r="D181" s="11">
        <f t="shared" si="9"/>
        <v>0.3276315813357526</v>
      </c>
      <c r="E181" s="11">
        <f t="shared" si="10"/>
        <v>-0.72821308735347512</v>
      </c>
    </row>
    <row r="182" spans="1:5">
      <c r="A182" s="15">
        <f t="shared" si="11"/>
        <v>35431</v>
      </c>
      <c r="B182" s="11">
        <v>0.31525851197982346</v>
      </c>
      <c r="C182" s="11">
        <f t="shared" si="8"/>
        <v>0.23858560535900958</v>
      </c>
      <c r="D182" s="11">
        <f t="shared" si="9"/>
        <v>0.3276315813357526</v>
      </c>
      <c r="E182" s="11">
        <f t="shared" si="10"/>
        <v>0.23402172131336901</v>
      </c>
    </row>
    <row r="183" spans="1:5">
      <c r="A183" s="15">
        <f t="shared" si="11"/>
        <v>35462</v>
      </c>
      <c r="B183" s="11">
        <v>0.31426775612822128</v>
      </c>
      <c r="C183" s="11">
        <f t="shared" si="8"/>
        <v>0.23858560535900958</v>
      </c>
      <c r="D183" s="11">
        <f t="shared" si="9"/>
        <v>0.3276315813357526</v>
      </c>
      <c r="E183" s="11">
        <f t="shared" si="10"/>
        <v>0.23099772757148709</v>
      </c>
    </row>
    <row r="184" spans="1:5">
      <c r="A184" s="15">
        <f t="shared" si="11"/>
        <v>35490</v>
      </c>
      <c r="B184" s="11">
        <v>0.25062656641604369</v>
      </c>
      <c r="C184" s="11">
        <f t="shared" si="8"/>
        <v>0.23858560535900958</v>
      </c>
      <c r="D184" s="11">
        <f t="shared" si="9"/>
        <v>0.3276315813357526</v>
      </c>
      <c r="E184" s="11">
        <f t="shared" si="10"/>
        <v>3.6751527456367818E-2</v>
      </c>
    </row>
    <row r="185" spans="1:5">
      <c r="A185" s="15">
        <f t="shared" si="11"/>
        <v>35521</v>
      </c>
      <c r="B185" s="11">
        <v>0.12499999999999289</v>
      </c>
      <c r="C185" s="11">
        <f t="shared" si="8"/>
        <v>0.23858560535900958</v>
      </c>
      <c r="D185" s="11">
        <f t="shared" si="9"/>
        <v>0.3276315813357526</v>
      </c>
      <c r="E185" s="11">
        <f t="shared" si="10"/>
        <v>-0.34668698571709311</v>
      </c>
    </row>
    <row r="186" spans="1:5">
      <c r="A186" s="15">
        <f t="shared" si="11"/>
        <v>35551</v>
      </c>
      <c r="B186" s="11">
        <v>-6.2421972534328539E-2</v>
      </c>
      <c r="C186" s="11">
        <f t="shared" si="8"/>
        <v>0.23858560535900958</v>
      </c>
      <c r="D186" s="11">
        <f t="shared" si="9"/>
        <v>0.3276315813357526</v>
      </c>
      <c r="E186" s="11">
        <f t="shared" si="10"/>
        <v>-0.91873798205329127</v>
      </c>
    </row>
    <row r="187" spans="1:5">
      <c r="A187" s="15">
        <f t="shared" si="11"/>
        <v>35582</v>
      </c>
      <c r="B187" s="11">
        <v>0.12492192379763714</v>
      </c>
      <c r="C187" s="11">
        <f t="shared" si="8"/>
        <v>0.23858560535900958</v>
      </c>
      <c r="D187" s="11">
        <f t="shared" si="9"/>
        <v>0.3276315813357526</v>
      </c>
      <c r="E187" s="11">
        <f t="shared" si="10"/>
        <v>-0.34692529059001603</v>
      </c>
    </row>
    <row r="188" spans="1:5">
      <c r="A188" s="15">
        <f t="shared" si="11"/>
        <v>35612</v>
      </c>
      <c r="B188" s="11">
        <v>0.12476606363068536</v>
      </c>
      <c r="C188" s="11">
        <f t="shared" si="8"/>
        <v>0.23858560535900958</v>
      </c>
      <c r="D188" s="11">
        <f t="shared" si="9"/>
        <v>0.3276315813357526</v>
      </c>
      <c r="E188" s="11">
        <f t="shared" si="10"/>
        <v>-0.34740100836519611</v>
      </c>
    </row>
    <row r="189" spans="1:5">
      <c r="A189" s="15">
        <f t="shared" si="11"/>
        <v>35643</v>
      </c>
      <c r="B189" s="11">
        <v>0.18691588785047436</v>
      </c>
      <c r="C189" s="11">
        <f t="shared" si="8"/>
        <v>0.23858560535900958</v>
      </c>
      <c r="D189" s="11">
        <f t="shared" si="9"/>
        <v>0.3276315813357526</v>
      </c>
      <c r="E189" s="11">
        <f t="shared" si="10"/>
        <v>-0.15770676714948539</v>
      </c>
    </row>
    <row r="190" spans="1:5">
      <c r="A190" s="15">
        <f t="shared" si="11"/>
        <v>35674</v>
      </c>
      <c r="B190" s="11">
        <v>0.24875621890545849</v>
      </c>
      <c r="C190" s="11">
        <f t="shared" si="8"/>
        <v>0.23858560535900958</v>
      </c>
      <c r="D190" s="11">
        <f t="shared" si="9"/>
        <v>0.3276315813357526</v>
      </c>
      <c r="E190" s="11">
        <f t="shared" si="10"/>
        <v>3.1042836301016404E-2</v>
      </c>
    </row>
    <row r="191" spans="1:5">
      <c r="A191" s="15">
        <f t="shared" si="11"/>
        <v>35704</v>
      </c>
      <c r="B191" s="11">
        <v>0.24813895781638073</v>
      </c>
      <c r="C191" s="11">
        <f t="shared" si="8"/>
        <v>0.23858560535900958</v>
      </c>
      <c r="D191" s="11">
        <f t="shared" si="9"/>
        <v>0.3276315813357526</v>
      </c>
      <c r="E191" s="11">
        <f t="shared" si="10"/>
        <v>2.9158826564954995E-2</v>
      </c>
    </row>
    <row r="192" spans="1:5">
      <c r="A192" s="15">
        <f t="shared" si="11"/>
        <v>35735</v>
      </c>
      <c r="B192" s="11">
        <v>-6.188118811880837E-2</v>
      </c>
      <c r="C192" s="11">
        <f t="shared" si="8"/>
        <v>0.23858560535900958</v>
      </c>
      <c r="D192" s="11">
        <f t="shared" si="9"/>
        <v>0.3276315813357526</v>
      </c>
      <c r="E192" s="11">
        <f t="shared" si="10"/>
        <v>-0.9170873950942583</v>
      </c>
    </row>
    <row r="193" spans="1:5">
      <c r="A193" s="15">
        <f t="shared" si="11"/>
        <v>35765</v>
      </c>
      <c r="B193" s="11">
        <v>-0.12383900928791866</v>
      </c>
      <c r="C193" s="11">
        <f t="shared" si="8"/>
        <v>0.23858560535900958</v>
      </c>
      <c r="D193" s="11">
        <f t="shared" si="9"/>
        <v>0.3276315813357526</v>
      </c>
      <c r="E193" s="11">
        <f t="shared" si="10"/>
        <v>-1.1061956029065469</v>
      </c>
    </row>
    <row r="194" spans="1:5">
      <c r="A194" s="15">
        <f t="shared" si="11"/>
        <v>35796</v>
      </c>
      <c r="B194" s="11">
        <v>0.18598884066954924</v>
      </c>
      <c r="C194" s="11">
        <f t="shared" si="8"/>
        <v>0.23858560535900958</v>
      </c>
      <c r="D194" s="11">
        <f t="shared" si="9"/>
        <v>0.3276315813357526</v>
      </c>
      <c r="E194" s="11">
        <f t="shared" si="10"/>
        <v>-0.16053630872525643</v>
      </c>
    </row>
    <row r="195" spans="1:5">
      <c r="A195" s="15">
        <f t="shared" si="11"/>
        <v>35827</v>
      </c>
      <c r="B195" s="11">
        <v>0.18564356435644269</v>
      </c>
      <c r="C195" s="11">
        <f t="shared" ref="C195:C258" si="12">AVERAGE($B$2:$B$541)</f>
        <v>0.23858560535900958</v>
      </c>
      <c r="D195" s="11">
        <f t="shared" ref="D195:D258" si="13">_xlfn.STDEV.S($B$2:$B$541)</f>
        <v>0.3276315813357526</v>
      </c>
      <c r="E195" s="11">
        <f t="shared" ref="E195:E258" si="14">(B195-C195)/D195</f>
        <v>-0.16159016413107188</v>
      </c>
    </row>
    <row r="196" spans="1:5">
      <c r="A196" s="15">
        <f t="shared" ref="A196:A259" si="15">EDATE(A195,1)</f>
        <v>35855</v>
      </c>
      <c r="B196" s="11">
        <v>0.18529956763433164</v>
      </c>
      <c r="C196" s="11">
        <f t="shared" si="12"/>
        <v>0.23858560535900958</v>
      </c>
      <c r="D196" s="11">
        <f t="shared" si="13"/>
        <v>0.3276315813357526</v>
      </c>
      <c r="E196" s="11">
        <f t="shared" si="14"/>
        <v>-0.1626401139579737</v>
      </c>
    </row>
    <row r="197" spans="1:5">
      <c r="A197" s="15">
        <f t="shared" si="15"/>
        <v>35886</v>
      </c>
      <c r="B197" s="11">
        <v>0.18495684340321294</v>
      </c>
      <c r="C197" s="11">
        <f t="shared" si="12"/>
        <v>0.23858560535900958</v>
      </c>
      <c r="D197" s="11">
        <f t="shared" si="13"/>
        <v>0.3276315813357526</v>
      </c>
      <c r="E197" s="11">
        <f t="shared" si="14"/>
        <v>-0.16368617987665413</v>
      </c>
    </row>
    <row r="198" spans="1:5">
      <c r="A198" s="15">
        <f t="shared" si="15"/>
        <v>35916</v>
      </c>
      <c r="B198" s="11">
        <v>0.18461538461539162</v>
      </c>
      <c r="C198" s="11">
        <f t="shared" si="12"/>
        <v>0.23858560535900958</v>
      </c>
      <c r="D198" s="11">
        <f t="shared" si="13"/>
        <v>0.3276315813357526</v>
      </c>
      <c r="E198" s="11">
        <f t="shared" si="14"/>
        <v>-0.16472838339814982</v>
      </c>
    </row>
    <row r="199" spans="1:5">
      <c r="A199" s="15">
        <f t="shared" si="15"/>
        <v>35947</v>
      </c>
      <c r="B199" s="11">
        <v>0.12285012285011586</v>
      </c>
      <c r="C199" s="11">
        <f t="shared" si="12"/>
        <v>0.23858560535900958</v>
      </c>
      <c r="D199" s="11">
        <f t="shared" si="13"/>
        <v>0.3276315813357526</v>
      </c>
      <c r="E199" s="11">
        <f t="shared" si="14"/>
        <v>-0.35324885970101122</v>
      </c>
    </row>
    <row r="200" spans="1:5">
      <c r="A200" s="15">
        <f t="shared" si="15"/>
        <v>35977</v>
      </c>
      <c r="B200" s="11">
        <v>0.1226993865030605</v>
      </c>
      <c r="C200" s="11">
        <f t="shared" si="12"/>
        <v>0.23858560535900958</v>
      </c>
      <c r="D200" s="11">
        <f t="shared" si="13"/>
        <v>0.3276315813357526</v>
      </c>
      <c r="E200" s="11">
        <f t="shared" si="14"/>
        <v>-0.35370893850794677</v>
      </c>
    </row>
    <row r="201" spans="1:5">
      <c r="A201" s="15">
        <f t="shared" si="15"/>
        <v>36008</v>
      </c>
      <c r="B201" s="11">
        <v>0.12254901960785358</v>
      </c>
      <c r="C201" s="11">
        <f t="shared" si="12"/>
        <v>0.23858560535900958</v>
      </c>
      <c r="D201" s="11">
        <f t="shared" si="13"/>
        <v>0.3276315813357526</v>
      </c>
      <c r="E201" s="11">
        <f t="shared" si="14"/>
        <v>-0.35416788967069451</v>
      </c>
    </row>
    <row r="202" spans="1:5">
      <c r="A202" s="15">
        <f t="shared" si="15"/>
        <v>36039</v>
      </c>
      <c r="B202" s="11">
        <v>0.12239902080782657</v>
      </c>
      <c r="C202" s="11">
        <f t="shared" si="12"/>
        <v>0.23858560535900958</v>
      </c>
      <c r="D202" s="11">
        <f t="shared" si="13"/>
        <v>0.3276315813357526</v>
      </c>
      <c r="E202" s="11">
        <f t="shared" si="14"/>
        <v>-0.35462571733009007</v>
      </c>
    </row>
    <row r="203" spans="1:5">
      <c r="A203" s="15">
        <f t="shared" si="15"/>
        <v>36069</v>
      </c>
      <c r="B203" s="11">
        <v>0.24449877750611593</v>
      </c>
      <c r="C203" s="11">
        <f t="shared" si="12"/>
        <v>0.23858560535900958</v>
      </c>
      <c r="D203" s="11">
        <f t="shared" si="13"/>
        <v>0.3276315813357526</v>
      </c>
      <c r="E203" s="11">
        <f t="shared" si="14"/>
        <v>1.8048236140723588E-2</v>
      </c>
    </row>
    <row r="204" spans="1:5">
      <c r="A204" s="15">
        <f t="shared" si="15"/>
        <v>36100</v>
      </c>
      <c r="B204" s="11">
        <v>0</v>
      </c>
      <c r="C204" s="11">
        <f t="shared" si="12"/>
        <v>0.23858560535900958</v>
      </c>
      <c r="D204" s="11">
        <f t="shared" si="13"/>
        <v>0.3276315813357526</v>
      </c>
      <c r="E204" s="11">
        <f t="shared" si="14"/>
        <v>-0.72821308735347512</v>
      </c>
    </row>
    <row r="205" spans="1:5">
      <c r="A205" s="15">
        <f t="shared" si="15"/>
        <v>36130</v>
      </c>
      <c r="B205" s="11">
        <v>-6.097560975609409E-2</v>
      </c>
      <c r="C205" s="11">
        <f t="shared" si="12"/>
        <v>0.23858560535900958</v>
      </c>
      <c r="D205" s="11">
        <f t="shared" si="13"/>
        <v>0.3276315813357526</v>
      </c>
      <c r="E205" s="11">
        <f t="shared" si="14"/>
        <v>-0.91432338083463705</v>
      </c>
    </row>
    <row r="206" spans="1:5">
      <c r="A206" s="15">
        <f t="shared" si="15"/>
        <v>36161</v>
      </c>
      <c r="B206" s="11">
        <v>0.24405125076266362</v>
      </c>
      <c r="C206" s="11">
        <f t="shared" si="12"/>
        <v>0.23858560535900958</v>
      </c>
      <c r="D206" s="11">
        <f t="shared" si="13"/>
        <v>0.3276315813357526</v>
      </c>
      <c r="E206" s="11">
        <f t="shared" si="14"/>
        <v>1.6682291070264449E-2</v>
      </c>
    </row>
    <row r="207" spans="1:5">
      <c r="A207" s="15">
        <f t="shared" si="15"/>
        <v>36192</v>
      </c>
      <c r="B207" s="11">
        <v>0.1217285453438762</v>
      </c>
      <c r="C207" s="11">
        <f t="shared" si="12"/>
        <v>0.23858560535900958</v>
      </c>
      <c r="D207" s="11">
        <f t="shared" si="13"/>
        <v>0.3276315813357526</v>
      </c>
      <c r="E207" s="11">
        <f t="shared" si="14"/>
        <v>-0.3566721484501208</v>
      </c>
    </row>
    <row r="208" spans="1:5">
      <c r="A208" s="15">
        <f t="shared" si="15"/>
        <v>36220</v>
      </c>
      <c r="B208" s="11">
        <v>0.303951367781155</v>
      </c>
      <c r="C208" s="11">
        <f t="shared" si="12"/>
        <v>0.23858560535900958</v>
      </c>
      <c r="D208" s="11">
        <f t="shared" si="13"/>
        <v>0.3276315813357526</v>
      </c>
      <c r="E208" s="11">
        <f t="shared" si="14"/>
        <v>0.19950995613929975</v>
      </c>
    </row>
    <row r="209" spans="1:5">
      <c r="A209" s="15">
        <f t="shared" si="15"/>
        <v>36251</v>
      </c>
      <c r="B209" s="11">
        <v>0.72727272727272041</v>
      </c>
      <c r="C209" s="11">
        <f t="shared" si="12"/>
        <v>0.23858560535900958</v>
      </c>
      <c r="D209" s="11">
        <f t="shared" si="13"/>
        <v>0.3276315813357526</v>
      </c>
      <c r="E209" s="11">
        <f t="shared" si="14"/>
        <v>1.4915751403492161</v>
      </c>
    </row>
    <row r="210" spans="1:5">
      <c r="A210" s="15">
        <f t="shared" si="15"/>
        <v>36281</v>
      </c>
      <c r="B210" s="11">
        <v>0</v>
      </c>
      <c r="C210" s="11">
        <f t="shared" si="12"/>
        <v>0.23858560535900958</v>
      </c>
      <c r="D210" s="11">
        <f t="shared" si="13"/>
        <v>0.3276315813357526</v>
      </c>
      <c r="E210" s="11">
        <f t="shared" si="14"/>
        <v>-0.72821308735347512</v>
      </c>
    </row>
    <row r="211" spans="1:5">
      <c r="A211" s="15">
        <f t="shared" si="15"/>
        <v>36312</v>
      </c>
      <c r="B211" s="11">
        <v>0</v>
      </c>
      <c r="C211" s="11">
        <f t="shared" si="12"/>
        <v>0.23858560535900958</v>
      </c>
      <c r="D211" s="11">
        <f t="shared" si="13"/>
        <v>0.3276315813357526</v>
      </c>
      <c r="E211" s="11">
        <f t="shared" si="14"/>
        <v>-0.72821308735347512</v>
      </c>
    </row>
    <row r="212" spans="1:5">
      <c r="A212" s="15">
        <f t="shared" si="15"/>
        <v>36342</v>
      </c>
      <c r="B212" s="11">
        <v>0.30084235860409148</v>
      </c>
      <c r="C212" s="11">
        <f t="shared" si="12"/>
        <v>0.23858560535900958</v>
      </c>
      <c r="D212" s="11">
        <f t="shared" si="13"/>
        <v>0.3276315813357526</v>
      </c>
      <c r="E212" s="11">
        <f t="shared" si="14"/>
        <v>0.19002061092908495</v>
      </c>
    </row>
    <row r="213" spans="1:5">
      <c r="A213" s="15">
        <f t="shared" si="15"/>
        <v>36373</v>
      </c>
      <c r="B213" s="11">
        <v>0.2399520095980838</v>
      </c>
      <c r="C213" s="11">
        <f t="shared" si="12"/>
        <v>0.23858560535900958</v>
      </c>
      <c r="D213" s="11">
        <f t="shared" si="13"/>
        <v>0.3276315813357526</v>
      </c>
      <c r="E213" s="11">
        <f t="shared" si="14"/>
        <v>4.1705510607475509E-3</v>
      </c>
    </row>
    <row r="214" spans="1:5">
      <c r="A214" s="15">
        <f t="shared" si="15"/>
        <v>36404</v>
      </c>
      <c r="B214" s="11">
        <v>0.47875523638540479</v>
      </c>
      <c r="C214" s="11">
        <f t="shared" si="12"/>
        <v>0.23858560535900958</v>
      </c>
      <c r="D214" s="11">
        <f t="shared" si="13"/>
        <v>0.3276315813357526</v>
      </c>
      <c r="E214" s="11">
        <f t="shared" si="14"/>
        <v>0.73304786445563219</v>
      </c>
    </row>
    <row r="215" spans="1:5">
      <c r="A215" s="15">
        <f t="shared" si="15"/>
        <v>36434</v>
      </c>
      <c r="B215" s="11">
        <v>0.17867778439546333</v>
      </c>
      <c r="C215" s="11">
        <f t="shared" si="12"/>
        <v>0.23858560535900958</v>
      </c>
      <c r="D215" s="11">
        <f t="shared" si="13"/>
        <v>0.3276315813357526</v>
      </c>
      <c r="E215" s="11">
        <f t="shared" si="14"/>
        <v>-0.18285117911802734</v>
      </c>
    </row>
    <row r="216" spans="1:5">
      <c r="A216" s="15">
        <f t="shared" si="15"/>
        <v>36465</v>
      </c>
      <c r="B216" s="11">
        <v>5.945303210465086E-2</v>
      </c>
      <c r="C216" s="11">
        <f t="shared" si="12"/>
        <v>0.23858560535900958</v>
      </c>
      <c r="D216" s="11">
        <f t="shared" si="13"/>
        <v>0.3276315813357526</v>
      </c>
      <c r="E216" s="11">
        <f t="shared" si="14"/>
        <v>-0.54675001879866392</v>
      </c>
    </row>
    <row r="217" spans="1:5">
      <c r="A217" s="15">
        <f t="shared" si="15"/>
        <v>36495</v>
      </c>
      <c r="B217" s="11">
        <v>0</v>
      </c>
      <c r="C217" s="11">
        <f t="shared" si="12"/>
        <v>0.23858560535900958</v>
      </c>
      <c r="D217" s="11">
        <f t="shared" si="13"/>
        <v>0.3276315813357526</v>
      </c>
      <c r="E217" s="11">
        <f t="shared" si="14"/>
        <v>-0.72821308735347512</v>
      </c>
    </row>
    <row r="218" spans="1:5">
      <c r="A218" s="15">
        <f t="shared" si="15"/>
        <v>36526</v>
      </c>
      <c r="B218" s="11">
        <v>0.29708853238265004</v>
      </c>
      <c r="C218" s="11">
        <f t="shared" si="12"/>
        <v>0.23858560535900958</v>
      </c>
      <c r="D218" s="11">
        <f t="shared" si="13"/>
        <v>0.3276315813357526</v>
      </c>
      <c r="E218" s="11">
        <f t="shared" si="14"/>
        <v>0.17856314945318846</v>
      </c>
    </row>
    <row r="219" spans="1:5">
      <c r="A219" s="15">
        <f t="shared" si="15"/>
        <v>36557</v>
      </c>
      <c r="B219" s="11">
        <v>0.59241706161137442</v>
      </c>
      <c r="C219" s="11">
        <f t="shared" si="12"/>
        <v>0.23858560535900958</v>
      </c>
      <c r="D219" s="11">
        <f t="shared" si="13"/>
        <v>0.3276315813357526</v>
      </c>
      <c r="E219" s="11">
        <f t="shared" si="14"/>
        <v>1.0799674891223716</v>
      </c>
    </row>
    <row r="220" spans="1:5">
      <c r="A220" s="15">
        <f t="shared" si="15"/>
        <v>36586</v>
      </c>
      <c r="B220" s="11">
        <v>0.82449941107183589</v>
      </c>
      <c r="C220" s="11">
        <f t="shared" si="12"/>
        <v>0.23858560535900958</v>
      </c>
      <c r="D220" s="11">
        <f t="shared" si="13"/>
        <v>0.3276315813357526</v>
      </c>
      <c r="E220" s="11">
        <f t="shared" si="14"/>
        <v>1.7883312815085108</v>
      </c>
    </row>
    <row r="221" spans="1:5">
      <c r="A221" s="15">
        <f t="shared" si="15"/>
        <v>36617</v>
      </c>
      <c r="B221" s="11">
        <v>5.8411214953284316E-2</v>
      </c>
      <c r="C221" s="11">
        <f t="shared" si="12"/>
        <v>0.23858560535900958</v>
      </c>
      <c r="D221" s="11">
        <f t="shared" si="13"/>
        <v>0.3276315813357526</v>
      </c>
      <c r="E221" s="11">
        <f t="shared" si="14"/>
        <v>-0.54992986228969443</v>
      </c>
    </row>
    <row r="222" spans="1:5">
      <c r="A222" s="15">
        <f t="shared" si="15"/>
        <v>36647</v>
      </c>
      <c r="B222" s="11">
        <v>0.11675423234091573</v>
      </c>
      <c r="C222" s="11">
        <f t="shared" si="12"/>
        <v>0.23858560535900958</v>
      </c>
      <c r="D222" s="11">
        <f t="shared" si="13"/>
        <v>0.3276315813357526</v>
      </c>
      <c r="E222" s="11">
        <f t="shared" si="14"/>
        <v>-0.37185479043683106</v>
      </c>
    </row>
    <row r="223" spans="1:5">
      <c r="A223" s="15">
        <f t="shared" si="15"/>
        <v>36678</v>
      </c>
      <c r="B223" s="11">
        <v>0.524781341107875</v>
      </c>
      <c r="C223" s="11">
        <f t="shared" si="12"/>
        <v>0.23858560535900958</v>
      </c>
      <c r="D223" s="11">
        <f t="shared" si="13"/>
        <v>0.3276315813357526</v>
      </c>
      <c r="E223" s="11">
        <f t="shared" si="14"/>
        <v>0.8735291469218156</v>
      </c>
    </row>
    <row r="224" spans="1:5">
      <c r="A224" s="15">
        <f t="shared" si="15"/>
        <v>36708</v>
      </c>
      <c r="B224" s="11">
        <v>0.23201856148492209</v>
      </c>
      <c r="C224" s="11">
        <f t="shared" si="12"/>
        <v>0.23858560535900958</v>
      </c>
      <c r="D224" s="11">
        <f t="shared" si="13"/>
        <v>0.3276315813357526</v>
      </c>
      <c r="E224" s="11">
        <f t="shared" si="14"/>
        <v>-2.0043989188446611E-2</v>
      </c>
    </row>
    <row r="225" spans="1:5">
      <c r="A225" s="15">
        <f t="shared" si="15"/>
        <v>36739</v>
      </c>
      <c r="B225" s="11">
        <v>0</v>
      </c>
      <c r="C225" s="11">
        <f t="shared" si="12"/>
        <v>0.23858560535900958</v>
      </c>
      <c r="D225" s="11">
        <f t="shared" si="13"/>
        <v>0.3276315813357526</v>
      </c>
      <c r="E225" s="11">
        <f t="shared" si="14"/>
        <v>-0.72821308735347512</v>
      </c>
    </row>
    <row r="226" spans="1:5">
      <c r="A226" s="15">
        <f t="shared" si="15"/>
        <v>36770</v>
      </c>
      <c r="B226" s="11">
        <v>0.52083333333332016</v>
      </c>
      <c r="C226" s="11">
        <f t="shared" si="12"/>
        <v>0.23858560535900958</v>
      </c>
      <c r="D226" s="11">
        <f t="shared" si="13"/>
        <v>0.3276315813357526</v>
      </c>
      <c r="E226" s="11">
        <f t="shared" si="14"/>
        <v>0.86147900279816669</v>
      </c>
    </row>
    <row r="227" spans="1:5">
      <c r="A227" s="15">
        <f t="shared" si="15"/>
        <v>36800</v>
      </c>
      <c r="B227" s="11">
        <v>0.17271157167530882</v>
      </c>
      <c r="C227" s="11">
        <f t="shared" si="12"/>
        <v>0.23858560535900958</v>
      </c>
      <c r="D227" s="11">
        <f t="shared" si="13"/>
        <v>0.3276315813357526</v>
      </c>
      <c r="E227" s="11">
        <f t="shared" si="14"/>
        <v>-0.20106130616325996</v>
      </c>
    </row>
    <row r="228" spans="1:5">
      <c r="A228" s="15">
        <f t="shared" si="15"/>
        <v>36831</v>
      </c>
      <c r="B228" s="11">
        <v>5.747126436781283E-2</v>
      </c>
      <c r="C228" s="11">
        <f t="shared" si="12"/>
        <v>0.23858560535900958</v>
      </c>
      <c r="D228" s="11">
        <f t="shared" si="13"/>
        <v>0.3276315813357526</v>
      </c>
      <c r="E228" s="11">
        <f t="shared" si="14"/>
        <v>-0.55279878775054081</v>
      </c>
    </row>
    <row r="229" spans="1:5">
      <c r="A229" s="15">
        <f t="shared" si="15"/>
        <v>36861</v>
      </c>
      <c r="B229" s="11">
        <v>-5.7438253877078876E-2</v>
      </c>
      <c r="C229" s="11">
        <f t="shared" si="12"/>
        <v>0.23858560535900958</v>
      </c>
      <c r="D229" s="11">
        <f t="shared" si="13"/>
        <v>0.3276315813357526</v>
      </c>
      <c r="E229" s="11">
        <f t="shared" si="14"/>
        <v>-0.90352663204566663</v>
      </c>
    </row>
    <row r="230" spans="1:5">
      <c r="A230" s="15">
        <f t="shared" si="15"/>
        <v>36892</v>
      </c>
      <c r="B230" s="11">
        <v>0.63218390804597369</v>
      </c>
      <c r="C230" s="11">
        <f t="shared" si="12"/>
        <v>0.23858560535900958</v>
      </c>
      <c r="D230" s="11">
        <f t="shared" si="13"/>
        <v>0.3276315813357526</v>
      </c>
      <c r="E230" s="11">
        <f t="shared" si="14"/>
        <v>1.2013442082789012</v>
      </c>
    </row>
    <row r="231" spans="1:5">
      <c r="A231" s="15">
        <f t="shared" si="15"/>
        <v>36923</v>
      </c>
      <c r="B231" s="11">
        <v>0.39977155910909024</v>
      </c>
      <c r="C231" s="11">
        <f t="shared" si="12"/>
        <v>0.23858560535900958</v>
      </c>
      <c r="D231" s="11">
        <f t="shared" si="13"/>
        <v>0.3276315813357526</v>
      </c>
      <c r="E231" s="11">
        <f t="shared" si="14"/>
        <v>0.49197318858251149</v>
      </c>
    </row>
    <row r="232" spans="1:5">
      <c r="A232" s="15">
        <f t="shared" si="15"/>
        <v>36951</v>
      </c>
      <c r="B232" s="11">
        <v>0.22753128555175042</v>
      </c>
      <c r="C232" s="11">
        <f t="shared" si="12"/>
        <v>0.23858560535900958</v>
      </c>
      <c r="D232" s="11">
        <f t="shared" si="13"/>
        <v>0.3276315813357526</v>
      </c>
      <c r="E232" s="11">
        <f t="shared" si="14"/>
        <v>-3.3740092338445334E-2</v>
      </c>
    </row>
    <row r="233" spans="1:5">
      <c r="A233" s="15">
        <f t="shared" si="15"/>
        <v>36982</v>
      </c>
      <c r="B233" s="11">
        <v>0.39727582292850006</v>
      </c>
      <c r="C233" s="11">
        <f t="shared" si="12"/>
        <v>0.23858560535900958</v>
      </c>
      <c r="D233" s="11">
        <f t="shared" si="13"/>
        <v>0.3276315813357526</v>
      </c>
      <c r="E233" s="11">
        <f t="shared" si="14"/>
        <v>0.48435568061696349</v>
      </c>
    </row>
    <row r="234" spans="1:5">
      <c r="A234" s="15">
        <f t="shared" si="15"/>
        <v>37012</v>
      </c>
      <c r="B234" s="11">
        <v>0.45223289994346122</v>
      </c>
      <c r="C234" s="11">
        <f t="shared" si="12"/>
        <v>0.23858560535900958</v>
      </c>
      <c r="D234" s="11">
        <f t="shared" si="13"/>
        <v>0.3276315813357526</v>
      </c>
      <c r="E234" s="11">
        <f t="shared" si="14"/>
        <v>0.65209615542376143</v>
      </c>
    </row>
    <row r="235" spans="1:5">
      <c r="A235" s="15">
        <f t="shared" si="15"/>
        <v>37043</v>
      </c>
      <c r="B235" s="11">
        <v>0.16882386043894845</v>
      </c>
      <c r="C235" s="11">
        <f t="shared" si="12"/>
        <v>0.23858560535900958</v>
      </c>
      <c r="D235" s="11">
        <f t="shared" si="13"/>
        <v>0.3276315813357526</v>
      </c>
      <c r="E235" s="11">
        <f t="shared" si="14"/>
        <v>-0.21292741266163287</v>
      </c>
    </row>
    <row r="236" spans="1:5">
      <c r="A236" s="15">
        <f t="shared" si="15"/>
        <v>37073</v>
      </c>
      <c r="B236" s="11">
        <v>-0.2808988764044944</v>
      </c>
      <c r="C236" s="11">
        <f t="shared" si="12"/>
        <v>0.23858560535900958</v>
      </c>
      <c r="D236" s="11">
        <f t="shared" si="13"/>
        <v>0.3276315813357526</v>
      </c>
      <c r="E236" s="11">
        <f t="shared" si="14"/>
        <v>-1.585575113502697</v>
      </c>
    </row>
    <row r="237" spans="1:5">
      <c r="A237" s="15">
        <f t="shared" si="15"/>
        <v>37104</v>
      </c>
      <c r="B237" s="11">
        <v>0</v>
      </c>
      <c r="C237" s="11">
        <f t="shared" si="12"/>
        <v>0.23858560535900958</v>
      </c>
      <c r="D237" s="11">
        <f t="shared" si="13"/>
        <v>0.3276315813357526</v>
      </c>
      <c r="E237" s="11">
        <f t="shared" si="14"/>
        <v>-0.72821308735347512</v>
      </c>
    </row>
    <row r="238" spans="1:5">
      <c r="A238" s="15">
        <f t="shared" si="15"/>
        <v>37135</v>
      </c>
      <c r="B238" s="11">
        <v>0.45070422535211913</v>
      </c>
      <c r="C238" s="11">
        <f t="shared" si="12"/>
        <v>0.23858560535900958</v>
      </c>
      <c r="D238" s="11">
        <f t="shared" si="13"/>
        <v>0.3276315813357526</v>
      </c>
      <c r="E238" s="11">
        <f t="shared" si="14"/>
        <v>0.64743032136371836</v>
      </c>
    </row>
    <row r="239" spans="1:5">
      <c r="A239" s="15">
        <f t="shared" si="15"/>
        <v>37165</v>
      </c>
      <c r="B239" s="11">
        <v>-0.33651149747617648</v>
      </c>
      <c r="C239" s="11">
        <f t="shared" si="12"/>
        <v>0.23858560535900958</v>
      </c>
      <c r="D239" s="11">
        <f t="shared" si="13"/>
        <v>0.3276315813357526</v>
      </c>
      <c r="E239" s="11">
        <f t="shared" si="14"/>
        <v>-1.755316445656788</v>
      </c>
    </row>
    <row r="240" spans="1:5">
      <c r="A240" s="15">
        <f t="shared" si="15"/>
        <v>37196</v>
      </c>
      <c r="B240" s="11">
        <v>-0.16882386043893244</v>
      </c>
      <c r="C240" s="11">
        <f t="shared" si="12"/>
        <v>0.23858560535900958</v>
      </c>
      <c r="D240" s="11">
        <f t="shared" si="13"/>
        <v>0.3276315813357526</v>
      </c>
      <c r="E240" s="11">
        <f t="shared" si="14"/>
        <v>-1.2434987620452684</v>
      </c>
    </row>
    <row r="241" spans="1:5">
      <c r="A241" s="15">
        <f t="shared" si="15"/>
        <v>37226</v>
      </c>
      <c r="B241" s="11">
        <v>-0.39458850056370748</v>
      </c>
      <c r="C241" s="11">
        <f t="shared" si="12"/>
        <v>0.23858560535900958</v>
      </c>
      <c r="D241" s="11">
        <f t="shared" si="13"/>
        <v>0.3276315813357526</v>
      </c>
      <c r="E241" s="11">
        <f t="shared" si="14"/>
        <v>-1.9325795863184765</v>
      </c>
    </row>
    <row r="242" spans="1:5">
      <c r="A242" s="15">
        <f t="shared" si="15"/>
        <v>37257</v>
      </c>
      <c r="B242" s="11">
        <v>0.22637238256932976</v>
      </c>
      <c r="C242" s="11">
        <f t="shared" si="12"/>
        <v>0.23858560535900958</v>
      </c>
      <c r="D242" s="11">
        <f t="shared" si="13"/>
        <v>0.3276315813357526</v>
      </c>
      <c r="E242" s="11">
        <f t="shared" si="14"/>
        <v>-3.7277306234907388E-2</v>
      </c>
    </row>
    <row r="243" spans="1:5">
      <c r="A243" s="15">
        <f t="shared" si="15"/>
        <v>37288</v>
      </c>
      <c r="B243" s="11">
        <v>0.39525691699605703</v>
      </c>
      <c r="C243" s="11">
        <f t="shared" si="12"/>
        <v>0.23858560535900958</v>
      </c>
      <c r="D243" s="11">
        <f t="shared" si="13"/>
        <v>0.3276315813357526</v>
      </c>
      <c r="E243" s="11">
        <f t="shared" si="14"/>
        <v>0.47819355813715869</v>
      </c>
    </row>
    <row r="244" spans="1:5">
      <c r="A244" s="15">
        <f t="shared" si="15"/>
        <v>37316</v>
      </c>
      <c r="B244" s="11">
        <v>0.56242969628796402</v>
      </c>
      <c r="C244" s="11">
        <f t="shared" si="12"/>
        <v>0.23858560535900958</v>
      </c>
      <c r="D244" s="11">
        <f t="shared" si="13"/>
        <v>0.3276315813357526</v>
      </c>
      <c r="E244" s="11">
        <f t="shared" si="14"/>
        <v>0.98843978840087221</v>
      </c>
    </row>
    <row r="245" spans="1:5">
      <c r="A245" s="15">
        <f t="shared" si="15"/>
        <v>37347</v>
      </c>
      <c r="B245" s="11">
        <v>0.55928411633109609</v>
      </c>
      <c r="C245" s="11">
        <f t="shared" si="12"/>
        <v>0.23858560535900958</v>
      </c>
      <c r="D245" s="11">
        <f t="shared" si="13"/>
        <v>0.3276315813357526</v>
      </c>
      <c r="E245" s="11">
        <f t="shared" si="14"/>
        <v>0.97883882153423674</v>
      </c>
    </row>
    <row r="246" spans="1:5">
      <c r="A246" s="15">
        <f t="shared" si="15"/>
        <v>37377</v>
      </c>
      <c r="B246" s="11">
        <v>0</v>
      </c>
      <c r="C246" s="11">
        <f t="shared" si="12"/>
        <v>0.23858560535900958</v>
      </c>
      <c r="D246" s="11">
        <f t="shared" si="13"/>
        <v>0.3276315813357526</v>
      </c>
      <c r="E246" s="11">
        <f t="shared" si="14"/>
        <v>-0.72821308735347512</v>
      </c>
    </row>
    <row r="247" spans="1:5">
      <c r="A247" s="15">
        <f t="shared" si="15"/>
        <v>37408</v>
      </c>
      <c r="B247" s="11">
        <v>5.5617352614012405E-2</v>
      </c>
      <c r="C247" s="11">
        <f t="shared" si="12"/>
        <v>0.23858560535900958</v>
      </c>
      <c r="D247" s="11">
        <f t="shared" si="13"/>
        <v>0.3276315813357526</v>
      </c>
      <c r="E247" s="11">
        <f t="shared" si="14"/>
        <v>-0.55845731354418393</v>
      </c>
    </row>
    <row r="248" spans="1:5">
      <c r="A248" s="15">
        <f t="shared" si="15"/>
        <v>37438</v>
      </c>
      <c r="B248" s="11">
        <v>0.11117287381878189</v>
      </c>
      <c r="C248" s="11">
        <f t="shared" si="12"/>
        <v>0.23858560535900958</v>
      </c>
      <c r="D248" s="11">
        <f t="shared" si="13"/>
        <v>0.3276315813357526</v>
      </c>
      <c r="E248" s="11">
        <f t="shared" si="14"/>
        <v>-0.38889026210710981</v>
      </c>
    </row>
    <row r="249" spans="1:5">
      <c r="A249" s="15">
        <f t="shared" si="15"/>
        <v>37469</v>
      </c>
      <c r="B249" s="11">
        <v>0.33314825097167922</v>
      </c>
      <c r="C249" s="11">
        <f t="shared" si="12"/>
        <v>0.23858560535900958</v>
      </c>
      <c r="D249" s="11">
        <f t="shared" si="13"/>
        <v>0.3276315813357526</v>
      </c>
      <c r="E249" s="11">
        <f t="shared" si="14"/>
        <v>0.28862494032821295</v>
      </c>
    </row>
    <row r="250" spans="1:5">
      <c r="A250" s="15">
        <f t="shared" si="15"/>
        <v>37500</v>
      </c>
      <c r="B250" s="11">
        <v>0.16602102933038815</v>
      </c>
      <c r="C250" s="11">
        <f t="shared" si="12"/>
        <v>0.23858560535900958</v>
      </c>
      <c r="D250" s="11">
        <f t="shared" si="13"/>
        <v>0.3276315813357526</v>
      </c>
      <c r="E250" s="11">
        <f t="shared" si="14"/>
        <v>-0.22148223847278689</v>
      </c>
    </row>
    <row r="251" spans="1:5">
      <c r="A251" s="15">
        <f t="shared" si="15"/>
        <v>37530</v>
      </c>
      <c r="B251" s="11">
        <v>0.16574585635359745</v>
      </c>
      <c r="C251" s="11">
        <f t="shared" si="12"/>
        <v>0.23858560535900958</v>
      </c>
      <c r="D251" s="11">
        <f t="shared" si="13"/>
        <v>0.3276315813357526</v>
      </c>
      <c r="E251" s="11">
        <f t="shared" si="14"/>
        <v>-0.222322123857672</v>
      </c>
    </row>
    <row r="252" spans="1:5">
      <c r="A252" s="15">
        <f t="shared" si="15"/>
        <v>37561</v>
      </c>
      <c r="B252" s="11">
        <v>0</v>
      </c>
      <c r="C252" s="11">
        <f t="shared" si="12"/>
        <v>0.23858560535900958</v>
      </c>
      <c r="D252" s="11">
        <f t="shared" si="13"/>
        <v>0.3276315813357526</v>
      </c>
      <c r="E252" s="11">
        <f t="shared" si="14"/>
        <v>-0.72821308735347512</v>
      </c>
    </row>
    <row r="253" spans="1:5">
      <c r="A253" s="15">
        <f t="shared" si="15"/>
        <v>37591</v>
      </c>
      <c r="B253" s="11">
        <v>-0.22062879205736663</v>
      </c>
      <c r="C253" s="11">
        <f t="shared" si="12"/>
        <v>0.23858560535900958</v>
      </c>
      <c r="D253" s="11">
        <f t="shared" si="13"/>
        <v>0.3276315813357526</v>
      </c>
      <c r="E253" s="11">
        <f t="shared" si="14"/>
        <v>-1.4016182308926417</v>
      </c>
    </row>
    <row r="254" spans="1:5">
      <c r="A254" s="15">
        <f t="shared" si="15"/>
        <v>37622</v>
      </c>
      <c r="B254" s="11">
        <v>0.44223327805416413</v>
      </c>
      <c r="C254" s="11">
        <f t="shared" si="12"/>
        <v>0.23858560535900958</v>
      </c>
      <c r="D254" s="11">
        <f t="shared" si="13"/>
        <v>0.3276315813357526</v>
      </c>
      <c r="E254" s="11">
        <f t="shared" si="14"/>
        <v>0.62157522136566878</v>
      </c>
    </row>
    <row r="255" spans="1:5">
      <c r="A255" s="15">
        <f t="shared" si="15"/>
        <v>37653</v>
      </c>
      <c r="B255" s="11">
        <v>0.77050082553660193</v>
      </c>
      <c r="C255" s="11">
        <f t="shared" si="12"/>
        <v>0.23858560535900958</v>
      </c>
      <c r="D255" s="11">
        <f t="shared" si="13"/>
        <v>0.3276315813357526</v>
      </c>
      <c r="E255" s="11">
        <f t="shared" si="14"/>
        <v>1.6235163228434089</v>
      </c>
    </row>
    <row r="256" spans="1:5">
      <c r="A256" s="15">
        <f t="shared" si="15"/>
        <v>37681</v>
      </c>
      <c r="B256" s="11">
        <v>0.6007646095030007</v>
      </c>
      <c r="C256" s="11">
        <f t="shared" si="12"/>
        <v>0.23858560535900958</v>
      </c>
      <c r="D256" s="11">
        <f t="shared" si="13"/>
        <v>0.3276315813357526</v>
      </c>
      <c r="E256" s="11">
        <f t="shared" si="14"/>
        <v>1.1054459483648946</v>
      </c>
    </row>
    <row r="257" spans="1:5">
      <c r="A257" s="15">
        <f t="shared" si="15"/>
        <v>37712</v>
      </c>
      <c r="B257" s="11">
        <v>-0.21715526601518853</v>
      </c>
      <c r="C257" s="11">
        <f t="shared" si="12"/>
        <v>0.23858560535900958</v>
      </c>
      <c r="D257" s="11">
        <f t="shared" si="13"/>
        <v>0.3276315813357526</v>
      </c>
      <c r="E257" s="11">
        <f t="shared" si="14"/>
        <v>-1.3910163040942038</v>
      </c>
    </row>
    <row r="258" spans="1:5">
      <c r="A258" s="15">
        <f t="shared" si="15"/>
        <v>37742</v>
      </c>
      <c r="B258" s="11">
        <v>-0.16322089227421729</v>
      </c>
      <c r="C258" s="11">
        <f t="shared" si="12"/>
        <v>0.23858560535900958</v>
      </c>
      <c r="D258" s="11">
        <f t="shared" si="13"/>
        <v>0.3276315813357526</v>
      </c>
      <c r="E258" s="11">
        <f t="shared" si="14"/>
        <v>-1.2263973332334552</v>
      </c>
    </row>
    <row r="259" spans="1:5">
      <c r="A259" s="15">
        <f t="shared" si="15"/>
        <v>37773</v>
      </c>
      <c r="B259" s="11">
        <v>0.10899182561307283</v>
      </c>
      <c r="C259" s="11">
        <f t="shared" ref="C259:C322" si="16">AVERAGE($B$2:$B$541)</f>
        <v>0.23858560535900958</v>
      </c>
      <c r="D259" s="11">
        <f t="shared" ref="D259:D322" si="17">_xlfn.STDEV.S($B$2:$B$541)</f>
        <v>0.3276315813357526</v>
      </c>
      <c r="E259" s="11">
        <f t="shared" ref="E259:E322" si="18">(B259-C259)/D259</f>
        <v>-0.39554727666235179</v>
      </c>
    </row>
    <row r="260" spans="1:5">
      <c r="A260" s="15">
        <f t="shared" ref="A260:A323" si="19">EDATE(A259,1)</f>
        <v>37803</v>
      </c>
      <c r="B260" s="11">
        <v>0.10887316276538762</v>
      </c>
      <c r="C260" s="11">
        <f t="shared" si="16"/>
        <v>0.23858560535900958</v>
      </c>
      <c r="D260" s="11">
        <f t="shared" si="17"/>
        <v>0.3276315813357526</v>
      </c>
      <c r="E260" s="11">
        <f t="shared" si="18"/>
        <v>-0.39590946045184311</v>
      </c>
    </row>
    <row r="261" spans="1:5">
      <c r="A261" s="15">
        <f t="shared" si="19"/>
        <v>37834</v>
      </c>
      <c r="B261" s="11">
        <v>0.38064165307231573</v>
      </c>
      <c r="C261" s="11">
        <f t="shared" si="16"/>
        <v>0.23858560535900958</v>
      </c>
      <c r="D261" s="11">
        <f t="shared" si="17"/>
        <v>0.3276315813357526</v>
      </c>
      <c r="E261" s="11">
        <f t="shared" si="18"/>
        <v>0.43358472078346122</v>
      </c>
    </row>
    <row r="262" spans="1:5">
      <c r="A262" s="15">
        <f t="shared" si="19"/>
        <v>37865</v>
      </c>
      <c r="B262" s="11">
        <v>0.32502708559046278</v>
      </c>
      <c r="C262" s="11">
        <f t="shared" si="16"/>
        <v>0.23858560535900958</v>
      </c>
      <c r="D262" s="11">
        <f t="shared" si="17"/>
        <v>0.3276315813357526</v>
      </c>
      <c r="E262" s="11">
        <f t="shared" si="18"/>
        <v>0.26383744777909274</v>
      </c>
    </row>
    <row r="263" spans="1:5">
      <c r="A263" s="15">
        <f t="shared" si="19"/>
        <v>37895</v>
      </c>
      <c r="B263" s="11">
        <v>-0.10799136069113857</v>
      </c>
      <c r="C263" s="11">
        <f t="shared" si="16"/>
        <v>0.23858560535900958</v>
      </c>
      <c r="D263" s="11">
        <f t="shared" si="17"/>
        <v>0.3276315813357526</v>
      </c>
      <c r="E263" s="11">
        <f t="shared" si="18"/>
        <v>-1.057825270192682</v>
      </c>
    </row>
    <row r="264" spans="1:5">
      <c r="A264" s="15">
        <f t="shared" si="19"/>
        <v>37926</v>
      </c>
      <c r="B264" s="11">
        <v>-0.27027027027027029</v>
      </c>
      <c r="C264" s="11">
        <f t="shared" si="16"/>
        <v>0.23858560535900958</v>
      </c>
      <c r="D264" s="11">
        <f t="shared" si="17"/>
        <v>0.3276315813357526</v>
      </c>
      <c r="E264" s="11">
        <f t="shared" si="18"/>
        <v>-1.5531343881889423</v>
      </c>
    </row>
    <row r="265" spans="1:5">
      <c r="A265" s="15">
        <f t="shared" si="19"/>
        <v>37956</v>
      </c>
      <c r="B265" s="11">
        <v>-0.10840108401083395</v>
      </c>
      <c r="C265" s="11">
        <f t="shared" si="16"/>
        <v>0.23858560535900958</v>
      </c>
      <c r="D265" s="11">
        <f t="shared" si="17"/>
        <v>0.3276315813357526</v>
      </c>
      <c r="E265" s="11">
        <f t="shared" si="18"/>
        <v>-1.0590758313199853</v>
      </c>
    </row>
    <row r="266" spans="1:5">
      <c r="A266" s="15">
        <f t="shared" si="19"/>
        <v>37987</v>
      </c>
      <c r="B266" s="11">
        <v>0.48833423765598327</v>
      </c>
      <c r="C266" s="11">
        <f t="shared" si="16"/>
        <v>0.23858560535900958</v>
      </c>
      <c r="D266" s="11">
        <f t="shared" si="17"/>
        <v>0.3276315813357526</v>
      </c>
      <c r="E266" s="11">
        <f t="shared" si="18"/>
        <v>0.76228497655430394</v>
      </c>
    </row>
    <row r="267" spans="1:5">
      <c r="A267" s="15">
        <f t="shared" si="19"/>
        <v>38018</v>
      </c>
      <c r="B267" s="11">
        <v>0.53995680345572361</v>
      </c>
      <c r="C267" s="11">
        <f t="shared" si="16"/>
        <v>0.23858560535900958</v>
      </c>
      <c r="D267" s="11">
        <f t="shared" si="17"/>
        <v>0.3276315813357526</v>
      </c>
      <c r="E267" s="11">
        <f t="shared" si="18"/>
        <v>0.91984782684265332</v>
      </c>
    </row>
    <row r="268" spans="1:5">
      <c r="A268" s="15">
        <f t="shared" si="19"/>
        <v>38047</v>
      </c>
      <c r="B268" s="11">
        <v>0.64446831364125523</v>
      </c>
      <c r="C268" s="11">
        <f t="shared" si="16"/>
        <v>0.23858560535900958</v>
      </c>
      <c r="D268" s="11">
        <f t="shared" si="17"/>
        <v>0.3276315813357526</v>
      </c>
      <c r="E268" s="11">
        <f t="shared" si="18"/>
        <v>1.2388387793004068</v>
      </c>
    </row>
    <row r="269" spans="1:5">
      <c r="A269" s="15">
        <f t="shared" si="19"/>
        <v>38078</v>
      </c>
      <c r="B269" s="11">
        <v>0.32017075773745696</v>
      </c>
      <c r="C269" s="11">
        <f t="shared" si="16"/>
        <v>0.23858560535900958</v>
      </c>
      <c r="D269" s="11">
        <f t="shared" si="17"/>
        <v>0.3276315813357526</v>
      </c>
      <c r="E269" s="11">
        <f t="shared" si="18"/>
        <v>0.24901492110688797</v>
      </c>
    </row>
    <row r="270" spans="1:5">
      <c r="A270" s="15">
        <f t="shared" si="19"/>
        <v>38108</v>
      </c>
      <c r="B270" s="11">
        <v>0.58510638297872031</v>
      </c>
      <c r="C270" s="11">
        <f t="shared" si="16"/>
        <v>0.23858560535900958</v>
      </c>
      <c r="D270" s="11">
        <f t="shared" si="17"/>
        <v>0.3276315813357526</v>
      </c>
      <c r="E270" s="11">
        <f t="shared" si="18"/>
        <v>1.0576537713701071</v>
      </c>
    </row>
    <row r="271" spans="1:5">
      <c r="A271" s="15">
        <f t="shared" si="19"/>
        <v>38139</v>
      </c>
      <c r="B271" s="11">
        <v>0.31729243786356126</v>
      </c>
      <c r="C271" s="11">
        <f t="shared" si="16"/>
        <v>0.23858560535900958</v>
      </c>
      <c r="D271" s="11">
        <f t="shared" si="17"/>
        <v>0.3276315813357526</v>
      </c>
      <c r="E271" s="11">
        <f t="shared" si="18"/>
        <v>0.24022968782088788</v>
      </c>
    </row>
    <row r="272" spans="1:5">
      <c r="A272" s="15">
        <f t="shared" si="19"/>
        <v>38169</v>
      </c>
      <c r="B272" s="11">
        <v>-0.15814443858723404</v>
      </c>
      <c r="C272" s="11">
        <f t="shared" si="16"/>
        <v>0.23858560535900958</v>
      </c>
      <c r="D272" s="11">
        <f t="shared" si="17"/>
        <v>0.3276315813357526</v>
      </c>
      <c r="E272" s="11">
        <f t="shared" si="18"/>
        <v>-1.2109029365507955</v>
      </c>
    </row>
    <row r="273" spans="1:5">
      <c r="A273" s="15">
        <f t="shared" si="19"/>
        <v>38200</v>
      </c>
      <c r="B273" s="11">
        <v>5.2798310454062462E-2</v>
      </c>
      <c r="C273" s="11">
        <f t="shared" si="16"/>
        <v>0.23858560535900958</v>
      </c>
      <c r="D273" s="11">
        <f t="shared" si="17"/>
        <v>0.3276315813357526</v>
      </c>
      <c r="E273" s="11">
        <f t="shared" si="18"/>
        <v>-0.56706161886925877</v>
      </c>
    </row>
    <row r="274" spans="1:5">
      <c r="A274" s="15">
        <f t="shared" si="19"/>
        <v>38231</v>
      </c>
      <c r="B274" s="11">
        <v>0.21108179419525364</v>
      </c>
      <c r="C274" s="11">
        <f t="shared" si="16"/>
        <v>0.23858560535900958</v>
      </c>
      <c r="D274" s="11">
        <f t="shared" si="17"/>
        <v>0.3276315813357526</v>
      </c>
      <c r="E274" s="11">
        <f t="shared" si="18"/>
        <v>-8.3947374827612831E-2</v>
      </c>
    </row>
    <row r="275" spans="1:5">
      <c r="A275" s="15">
        <f t="shared" si="19"/>
        <v>38261</v>
      </c>
      <c r="B275" s="11">
        <v>0.526592943654555</v>
      </c>
      <c r="C275" s="11">
        <f t="shared" si="16"/>
        <v>0.23858560535900958</v>
      </c>
      <c r="D275" s="11">
        <f t="shared" si="17"/>
        <v>0.3276315813357526</v>
      </c>
      <c r="E275" s="11">
        <f t="shared" si="18"/>
        <v>0.87905853618061081</v>
      </c>
    </row>
    <row r="276" spans="1:5">
      <c r="A276" s="15">
        <f t="shared" si="19"/>
        <v>38292</v>
      </c>
      <c r="B276" s="11">
        <v>5.2383446830798486E-2</v>
      </c>
      <c r="C276" s="11">
        <f t="shared" si="16"/>
        <v>0.23858560535900958</v>
      </c>
      <c r="D276" s="11">
        <f t="shared" si="17"/>
        <v>0.3276315813357526</v>
      </c>
      <c r="E276" s="11">
        <f t="shared" si="18"/>
        <v>-0.5683278692764161</v>
      </c>
    </row>
    <row r="277" spans="1:5">
      <c r="A277" s="15">
        <f t="shared" si="19"/>
        <v>38322</v>
      </c>
      <c r="B277" s="11">
        <v>-0.3664921465968527</v>
      </c>
      <c r="C277" s="11">
        <f t="shared" si="16"/>
        <v>0.23858560535900958</v>
      </c>
      <c r="D277" s="11">
        <f t="shared" si="17"/>
        <v>0.3276315813357526</v>
      </c>
      <c r="E277" s="11">
        <f t="shared" si="18"/>
        <v>-1.8468236471251118</v>
      </c>
    </row>
    <row r="278" spans="1:5">
      <c r="A278" s="15">
        <f t="shared" si="19"/>
        <v>38353</v>
      </c>
      <c r="B278" s="11">
        <v>0.21019442984759706</v>
      </c>
      <c r="C278" s="11">
        <f t="shared" si="16"/>
        <v>0.23858560535900958</v>
      </c>
      <c r="D278" s="11">
        <f t="shared" si="17"/>
        <v>0.3276315813357526</v>
      </c>
      <c r="E278" s="11">
        <f t="shared" si="18"/>
        <v>-8.6655796109953165E-2</v>
      </c>
    </row>
    <row r="279" spans="1:5">
      <c r="A279" s="15">
        <f t="shared" si="19"/>
        <v>38384</v>
      </c>
      <c r="B279" s="11">
        <v>0.57682223387520859</v>
      </c>
      <c r="C279" s="11">
        <f t="shared" si="16"/>
        <v>0.23858560535900958</v>
      </c>
      <c r="D279" s="11">
        <f t="shared" si="17"/>
        <v>0.3276315813357526</v>
      </c>
      <c r="E279" s="11">
        <f t="shared" si="18"/>
        <v>1.0323688184674069</v>
      </c>
    </row>
    <row r="280" spans="1:5">
      <c r="A280" s="15">
        <f t="shared" si="19"/>
        <v>38412</v>
      </c>
      <c r="B280" s="11">
        <v>0.7820646506777893</v>
      </c>
      <c r="C280" s="11">
        <f t="shared" si="16"/>
        <v>0.23858560535900958</v>
      </c>
      <c r="D280" s="11">
        <f t="shared" si="17"/>
        <v>0.3276315813357526</v>
      </c>
      <c r="E280" s="11">
        <f t="shared" si="18"/>
        <v>1.6588115318523868</v>
      </c>
    </row>
    <row r="281" spans="1:5">
      <c r="A281" s="15">
        <f t="shared" si="19"/>
        <v>38443</v>
      </c>
      <c r="B281" s="11">
        <v>0.67252974650800978</v>
      </c>
      <c r="C281" s="11">
        <f t="shared" si="16"/>
        <v>0.23858560535900958</v>
      </c>
      <c r="D281" s="11">
        <f t="shared" si="17"/>
        <v>0.3276315813357526</v>
      </c>
      <c r="E281" s="11">
        <f t="shared" si="18"/>
        <v>1.3244881320042827</v>
      </c>
    </row>
    <row r="282" spans="1:5">
      <c r="A282" s="15">
        <f t="shared" si="19"/>
        <v>38473</v>
      </c>
      <c r="B282" s="11">
        <v>-0.10277492291880198</v>
      </c>
      <c r="C282" s="11">
        <f t="shared" si="16"/>
        <v>0.23858560535900958</v>
      </c>
      <c r="D282" s="11">
        <f t="shared" si="17"/>
        <v>0.3276315813357526</v>
      </c>
      <c r="E282" s="11">
        <f t="shared" si="18"/>
        <v>-1.0419036128510142</v>
      </c>
    </row>
    <row r="283" spans="1:5">
      <c r="A283" s="15">
        <f t="shared" si="19"/>
        <v>38504</v>
      </c>
      <c r="B283" s="11">
        <v>5.1440329218104069E-2</v>
      </c>
      <c r="C283" s="11">
        <f t="shared" si="16"/>
        <v>0.23858560535900958</v>
      </c>
      <c r="D283" s="11">
        <f t="shared" si="17"/>
        <v>0.3276315813357526</v>
      </c>
      <c r="E283" s="11">
        <f t="shared" si="18"/>
        <v>-0.57120646116566354</v>
      </c>
    </row>
    <row r="284" spans="1:5">
      <c r="A284" s="15">
        <f t="shared" si="19"/>
        <v>38534</v>
      </c>
      <c r="B284" s="11">
        <v>0.46272493573265078</v>
      </c>
      <c r="C284" s="11">
        <f t="shared" si="16"/>
        <v>0.23858560535900958</v>
      </c>
      <c r="D284" s="11">
        <f t="shared" si="17"/>
        <v>0.3276315813357526</v>
      </c>
      <c r="E284" s="11">
        <f t="shared" si="18"/>
        <v>0.68412003952679434</v>
      </c>
    </row>
    <row r="285" spans="1:5">
      <c r="A285" s="15">
        <f t="shared" si="19"/>
        <v>38565</v>
      </c>
      <c r="B285" s="11">
        <v>0.51177072671443191</v>
      </c>
      <c r="C285" s="11">
        <f t="shared" si="16"/>
        <v>0.23858560535900958</v>
      </c>
      <c r="D285" s="11">
        <f t="shared" si="17"/>
        <v>0.3276315813357526</v>
      </c>
      <c r="E285" s="11">
        <f t="shared" si="18"/>
        <v>0.83381803500641705</v>
      </c>
    </row>
    <row r="286" spans="1:5">
      <c r="A286" s="15">
        <f t="shared" si="19"/>
        <v>38596</v>
      </c>
      <c r="B286" s="11">
        <v>1.2219959266802474</v>
      </c>
      <c r="C286" s="11">
        <f t="shared" si="16"/>
        <v>0.23858560535900958</v>
      </c>
      <c r="D286" s="11">
        <f t="shared" si="17"/>
        <v>0.3276315813357526</v>
      </c>
      <c r="E286" s="11">
        <f t="shared" si="18"/>
        <v>3.0015736496215597</v>
      </c>
    </row>
    <row r="287" spans="1:5">
      <c r="A287" s="15">
        <f t="shared" si="19"/>
        <v>38626</v>
      </c>
      <c r="B287" s="11">
        <v>0.20120724346075317</v>
      </c>
      <c r="C287" s="11">
        <f t="shared" si="16"/>
        <v>0.23858560535900958</v>
      </c>
      <c r="D287" s="11">
        <f t="shared" si="17"/>
        <v>0.3276315813357526</v>
      </c>
      <c r="E287" s="11">
        <f t="shared" si="18"/>
        <v>-0.11408656560477164</v>
      </c>
    </row>
    <row r="288" spans="1:5">
      <c r="A288" s="15">
        <f t="shared" si="19"/>
        <v>38657</v>
      </c>
      <c r="B288" s="11">
        <v>-0.8032128514056196</v>
      </c>
      <c r="C288" s="11">
        <f t="shared" si="16"/>
        <v>0.23858560535900958</v>
      </c>
      <c r="D288" s="11">
        <f t="shared" si="17"/>
        <v>0.3276315813357526</v>
      </c>
      <c r="E288" s="11">
        <f t="shared" si="18"/>
        <v>-3.1797864312018436</v>
      </c>
    </row>
    <row r="289" spans="1:5">
      <c r="A289" s="15">
        <f t="shared" si="19"/>
        <v>38687</v>
      </c>
      <c r="B289" s="11">
        <v>-0.40485829959513314</v>
      </c>
      <c r="C289" s="11">
        <f t="shared" si="16"/>
        <v>0.23858560535900958</v>
      </c>
      <c r="D289" s="11">
        <f t="shared" si="17"/>
        <v>0.3276315813357526</v>
      </c>
      <c r="E289" s="11">
        <f t="shared" si="18"/>
        <v>-1.9639251574308698</v>
      </c>
    </row>
    <row r="290" spans="1:5">
      <c r="A290" s="15">
        <f t="shared" si="19"/>
        <v>38718</v>
      </c>
      <c r="B290" s="11">
        <v>0.76219512195121952</v>
      </c>
      <c r="C290" s="11">
        <f t="shared" si="16"/>
        <v>0.23858560535900958</v>
      </c>
      <c r="D290" s="11">
        <f t="shared" si="17"/>
        <v>0.3276315813357526</v>
      </c>
      <c r="E290" s="11">
        <f t="shared" si="18"/>
        <v>1.5981655811611812</v>
      </c>
    </row>
    <row r="291" spans="1:5">
      <c r="A291" s="15">
        <f t="shared" si="19"/>
        <v>38749</v>
      </c>
      <c r="B291" s="11">
        <v>0.20171457387795122</v>
      </c>
      <c r="C291" s="11">
        <f t="shared" si="16"/>
        <v>0.23858560535900958</v>
      </c>
      <c r="D291" s="11">
        <f t="shared" si="17"/>
        <v>0.3276315813357526</v>
      </c>
      <c r="E291" s="11">
        <f t="shared" si="18"/>
        <v>-0.11253808723425049</v>
      </c>
    </row>
    <row r="292" spans="1:5">
      <c r="A292" s="15">
        <f t="shared" si="19"/>
        <v>38777</v>
      </c>
      <c r="B292" s="11">
        <v>0.55359838953196916</v>
      </c>
      <c r="C292" s="11">
        <f t="shared" si="16"/>
        <v>0.23858560535900958</v>
      </c>
      <c r="D292" s="11">
        <f t="shared" si="17"/>
        <v>0.3276315813357526</v>
      </c>
      <c r="E292" s="11">
        <f t="shared" si="18"/>
        <v>0.96148479608911253</v>
      </c>
    </row>
    <row r="293" spans="1:5">
      <c r="A293" s="15">
        <f t="shared" si="19"/>
        <v>38808</v>
      </c>
      <c r="B293" s="11">
        <v>0.850850850850845</v>
      </c>
      <c r="C293" s="11">
        <f t="shared" si="16"/>
        <v>0.23858560535900958</v>
      </c>
      <c r="D293" s="11">
        <f t="shared" si="17"/>
        <v>0.3276315813357526</v>
      </c>
      <c r="E293" s="11">
        <f t="shared" si="18"/>
        <v>1.8687613782396451</v>
      </c>
    </row>
    <row r="294" spans="1:5">
      <c r="A294" s="15">
        <f t="shared" si="19"/>
        <v>38838</v>
      </c>
      <c r="B294" s="11">
        <v>0.49627791563275436</v>
      </c>
      <c r="C294" s="11">
        <f t="shared" si="16"/>
        <v>0.23858560535900958</v>
      </c>
      <c r="D294" s="11">
        <f t="shared" si="17"/>
        <v>0.3276315813357526</v>
      </c>
      <c r="E294" s="11">
        <f t="shared" si="18"/>
        <v>0.78653074048336336</v>
      </c>
    </row>
    <row r="295" spans="1:5">
      <c r="A295" s="15">
        <f t="shared" si="19"/>
        <v>38869</v>
      </c>
      <c r="B295" s="11">
        <v>0.19753086419753368</v>
      </c>
      <c r="C295" s="11">
        <f t="shared" si="16"/>
        <v>0.23858560535900958</v>
      </c>
      <c r="D295" s="11">
        <f t="shared" si="17"/>
        <v>0.3276315813357526</v>
      </c>
      <c r="E295" s="11">
        <f t="shared" si="18"/>
        <v>-0.12530764279223597</v>
      </c>
    </row>
    <row r="296" spans="1:5">
      <c r="A296" s="15">
        <f t="shared" si="19"/>
        <v>38899</v>
      </c>
      <c r="B296" s="11">
        <v>0.29571217348447226</v>
      </c>
      <c r="C296" s="11">
        <f t="shared" si="16"/>
        <v>0.23858560535900958</v>
      </c>
      <c r="D296" s="11">
        <f t="shared" si="17"/>
        <v>0.3276315813357526</v>
      </c>
      <c r="E296" s="11">
        <f t="shared" si="18"/>
        <v>0.17436221469419372</v>
      </c>
    </row>
    <row r="297" spans="1:5">
      <c r="A297" s="15">
        <f t="shared" si="19"/>
        <v>38930</v>
      </c>
      <c r="B297" s="11">
        <v>0.19656019656019938</v>
      </c>
      <c r="C297" s="11">
        <f t="shared" si="16"/>
        <v>0.23858560535900958</v>
      </c>
      <c r="D297" s="11">
        <f t="shared" si="17"/>
        <v>0.3276315813357526</v>
      </c>
      <c r="E297" s="11">
        <f t="shared" si="18"/>
        <v>-0.12827032310949019</v>
      </c>
    </row>
    <row r="298" spans="1:5">
      <c r="A298" s="15">
        <f t="shared" si="19"/>
        <v>38961</v>
      </c>
      <c r="B298" s="11">
        <v>-0.49043648847474253</v>
      </c>
      <c r="C298" s="11">
        <f t="shared" si="16"/>
        <v>0.23858560535900958</v>
      </c>
      <c r="D298" s="11">
        <f t="shared" si="17"/>
        <v>0.3276315813357526</v>
      </c>
      <c r="E298" s="11">
        <f t="shared" si="18"/>
        <v>-2.2251276597375993</v>
      </c>
    </row>
    <row r="299" spans="1:5">
      <c r="A299" s="15">
        <f t="shared" si="19"/>
        <v>38991</v>
      </c>
      <c r="B299" s="11">
        <v>-0.54213898472153488</v>
      </c>
      <c r="C299" s="11">
        <f t="shared" si="16"/>
        <v>0.23858560535900958</v>
      </c>
      <c r="D299" s="11">
        <f t="shared" si="17"/>
        <v>0.3276315813357526</v>
      </c>
      <c r="E299" s="11">
        <f t="shared" si="18"/>
        <v>-2.3829344744408751</v>
      </c>
    </row>
    <row r="300" spans="1:5">
      <c r="A300" s="15">
        <f t="shared" si="19"/>
        <v>39022</v>
      </c>
      <c r="B300" s="11">
        <v>-0.1486620416253773</v>
      </c>
      <c r="C300" s="11">
        <f t="shared" si="16"/>
        <v>0.23858560535900958</v>
      </c>
      <c r="D300" s="11">
        <f t="shared" si="17"/>
        <v>0.3276315813357526</v>
      </c>
      <c r="E300" s="11">
        <f t="shared" si="18"/>
        <v>-1.1819606809745868</v>
      </c>
    </row>
    <row r="301" spans="1:5">
      <c r="A301" s="15">
        <f t="shared" si="19"/>
        <v>39052</v>
      </c>
      <c r="B301" s="11">
        <v>0.14888337468983193</v>
      </c>
      <c r="C301" s="11">
        <f t="shared" si="16"/>
        <v>0.23858560535900958</v>
      </c>
      <c r="D301" s="11">
        <f t="shared" si="17"/>
        <v>0.3276315813357526</v>
      </c>
      <c r="E301" s="11">
        <f t="shared" si="18"/>
        <v>-0.27378993900240639</v>
      </c>
    </row>
    <row r="302" spans="1:5">
      <c r="A302" s="15">
        <f t="shared" si="19"/>
        <v>39083</v>
      </c>
      <c r="B302" s="11">
        <v>0.30525272547075588</v>
      </c>
      <c r="C302" s="11">
        <f t="shared" si="16"/>
        <v>0.23858560535900958</v>
      </c>
      <c r="D302" s="11">
        <f t="shared" si="17"/>
        <v>0.3276315813357526</v>
      </c>
      <c r="E302" s="11">
        <f t="shared" si="18"/>
        <v>0.2034819715484836</v>
      </c>
    </row>
    <row r="303" spans="1:5">
      <c r="A303" s="15">
        <f t="shared" si="19"/>
        <v>39114</v>
      </c>
      <c r="B303" s="11">
        <v>0.53503675598766809</v>
      </c>
      <c r="C303" s="11">
        <f t="shared" si="16"/>
        <v>0.23858560535900958</v>
      </c>
      <c r="D303" s="11">
        <f t="shared" si="17"/>
        <v>0.3276315813357526</v>
      </c>
      <c r="E303" s="11">
        <f t="shared" si="18"/>
        <v>0.90483081459982706</v>
      </c>
    </row>
    <row r="304" spans="1:5">
      <c r="A304" s="15">
        <f t="shared" si="19"/>
        <v>39142</v>
      </c>
      <c r="B304" s="11">
        <v>0.9105695851085307</v>
      </c>
      <c r="C304" s="11">
        <f t="shared" si="16"/>
        <v>0.23858560535900958</v>
      </c>
      <c r="D304" s="11">
        <f t="shared" si="17"/>
        <v>0.3276315813357526</v>
      </c>
      <c r="E304" s="11">
        <f t="shared" si="18"/>
        <v>2.0510354252476062</v>
      </c>
    </row>
    <row r="305" spans="1:5">
      <c r="A305" s="15">
        <f t="shared" si="19"/>
        <v>39173</v>
      </c>
      <c r="B305" s="11">
        <v>0.64961626865090338</v>
      </c>
      <c r="C305" s="11">
        <f t="shared" si="16"/>
        <v>0.23858560535900958</v>
      </c>
      <c r="D305" s="11">
        <f t="shared" si="17"/>
        <v>0.3276315813357526</v>
      </c>
      <c r="E305" s="11">
        <f t="shared" si="18"/>
        <v>1.254551412950252</v>
      </c>
    </row>
    <row r="306" spans="1:5">
      <c r="A306" s="15">
        <f t="shared" si="19"/>
        <v>39203</v>
      </c>
      <c r="B306" s="11">
        <v>0.61107186747046494</v>
      </c>
      <c r="C306" s="11">
        <f t="shared" si="16"/>
        <v>0.23858560535900958</v>
      </c>
      <c r="D306" s="11">
        <f t="shared" si="17"/>
        <v>0.3276315813357526</v>
      </c>
      <c r="E306" s="11">
        <f t="shared" si="18"/>
        <v>1.1369058519719937</v>
      </c>
    </row>
    <row r="307" spans="1:5">
      <c r="A307" s="15">
        <f t="shared" si="19"/>
        <v>39234</v>
      </c>
      <c r="B307" s="11">
        <v>0.19379751766057618</v>
      </c>
      <c r="C307" s="11">
        <f t="shared" si="16"/>
        <v>0.23858560535900958</v>
      </c>
      <c r="D307" s="11">
        <f t="shared" si="17"/>
        <v>0.3276315813357526</v>
      </c>
      <c r="E307" s="11">
        <f t="shared" si="18"/>
        <v>-0.13670259599466128</v>
      </c>
    </row>
    <row r="308" spans="1:5">
      <c r="A308" s="15">
        <f t="shared" si="19"/>
        <v>39264</v>
      </c>
      <c r="B308" s="11">
        <v>-2.5437720780216781E-2</v>
      </c>
      <c r="C308" s="11">
        <f t="shared" si="16"/>
        <v>0.23858560535900958</v>
      </c>
      <c r="D308" s="11">
        <f t="shared" si="17"/>
        <v>0.3276315813357526</v>
      </c>
      <c r="E308" s="11">
        <f t="shared" si="18"/>
        <v>-0.80585432290380665</v>
      </c>
    </row>
    <row r="309" spans="1:5">
      <c r="A309" s="15">
        <f t="shared" si="19"/>
        <v>39295</v>
      </c>
      <c r="B309" s="11">
        <v>-0.18339022270870478</v>
      </c>
      <c r="C309" s="11">
        <f t="shared" si="16"/>
        <v>0.23858560535900958</v>
      </c>
      <c r="D309" s="11">
        <f t="shared" si="17"/>
        <v>0.3276315813357526</v>
      </c>
      <c r="E309" s="11">
        <f t="shared" si="18"/>
        <v>-1.2879583413397473</v>
      </c>
    </row>
    <row r="310" spans="1:5">
      <c r="A310" s="15">
        <f t="shared" si="19"/>
        <v>39326</v>
      </c>
      <c r="B310" s="11">
        <v>0.27559074053589055</v>
      </c>
      <c r="C310" s="11">
        <f t="shared" si="16"/>
        <v>0.23858560535900958</v>
      </c>
      <c r="D310" s="11">
        <f t="shared" si="17"/>
        <v>0.3276315813357526</v>
      </c>
      <c r="E310" s="11">
        <f t="shared" si="18"/>
        <v>0.11294739971650838</v>
      </c>
    </row>
    <row r="311" spans="1:5">
      <c r="A311" s="15">
        <f t="shared" si="19"/>
        <v>39356</v>
      </c>
      <c r="B311" s="11">
        <v>0.21391913281212427</v>
      </c>
      <c r="C311" s="11">
        <f t="shared" si="16"/>
        <v>0.23858560535900958</v>
      </c>
      <c r="D311" s="11">
        <f t="shared" si="17"/>
        <v>0.3276315813357526</v>
      </c>
      <c r="E311" s="11">
        <f t="shared" si="18"/>
        <v>-7.5287224895476207E-2</v>
      </c>
    </row>
    <row r="312" spans="1:5">
      <c r="A312" s="15">
        <f t="shared" si="19"/>
        <v>39387</v>
      </c>
      <c r="B312" s="11">
        <v>0.59396178734157135</v>
      </c>
      <c r="C312" s="11">
        <f t="shared" si="16"/>
        <v>0.23858560535900958</v>
      </c>
      <c r="D312" s="11">
        <f t="shared" si="17"/>
        <v>0.3276315813357526</v>
      </c>
      <c r="E312" s="11">
        <f t="shared" si="18"/>
        <v>1.0846823146098876</v>
      </c>
    </row>
    <row r="313" spans="1:5">
      <c r="A313" s="15">
        <f t="shared" si="19"/>
        <v>39417</v>
      </c>
      <c r="B313" s="11">
        <v>-6.708631296478261E-2</v>
      </c>
      <c r="C313" s="11">
        <f t="shared" si="16"/>
        <v>0.23858560535900958</v>
      </c>
      <c r="D313" s="11">
        <f t="shared" si="17"/>
        <v>0.3276315813357526</v>
      </c>
      <c r="E313" s="11">
        <f t="shared" si="18"/>
        <v>-0.93297452302238104</v>
      </c>
    </row>
    <row r="314" spans="1:5">
      <c r="A314" s="15">
        <f t="shared" si="19"/>
        <v>39448</v>
      </c>
      <c r="B314" s="11">
        <v>0.49705764726047497</v>
      </c>
      <c r="C314" s="11">
        <f t="shared" si="16"/>
        <v>0.23858560535900958</v>
      </c>
      <c r="D314" s="11">
        <f t="shared" si="17"/>
        <v>0.3276315813357526</v>
      </c>
      <c r="E314" s="11">
        <f t="shared" si="18"/>
        <v>0.78891064422933821</v>
      </c>
    </row>
    <row r="315" spans="1:5">
      <c r="A315" s="15">
        <f t="shared" si="19"/>
        <v>39479</v>
      </c>
      <c r="B315" s="11">
        <v>0.29041121849535695</v>
      </c>
      <c r="C315" s="11">
        <f t="shared" si="16"/>
        <v>0.23858560535900958</v>
      </c>
      <c r="D315" s="11">
        <f t="shared" si="17"/>
        <v>0.3276315813357526</v>
      </c>
      <c r="E315" s="11">
        <f t="shared" si="18"/>
        <v>0.15818259315861602</v>
      </c>
    </row>
    <row r="316" spans="1:5">
      <c r="A316" s="15">
        <f t="shared" si="19"/>
        <v>39508</v>
      </c>
      <c r="B316" s="11">
        <v>0.86682129309895906</v>
      </c>
      <c r="C316" s="11">
        <f t="shared" si="16"/>
        <v>0.23858560535900958</v>
      </c>
      <c r="D316" s="11">
        <f t="shared" si="17"/>
        <v>0.3276315813357526</v>
      </c>
      <c r="E316" s="11">
        <f t="shared" si="18"/>
        <v>1.9175065028183036</v>
      </c>
    </row>
    <row r="317" spans="1:5">
      <c r="A317" s="15">
        <f t="shared" si="19"/>
        <v>39539</v>
      </c>
      <c r="B317" s="11">
        <v>0.60647783897194563</v>
      </c>
      <c r="C317" s="11">
        <f t="shared" si="16"/>
        <v>0.23858560535900958</v>
      </c>
      <c r="D317" s="11">
        <f t="shared" si="17"/>
        <v>0.3276315813357526</v>
      </c>
      <c r="E317" s="11">
        <f t="shared" si="18"/>
        <v>1.1228839177012209</v>
      </c>
    </row>
    <row r="318" spans="1:5">
      <c r="A318" s="15">
        <f t="shared" si="19"/>
        <v>39569</v>
      </c>
      <c r="B318" s="11">
        <v>0.84208860317563639</v>
      </c>
      <c r="C318" s="11">
        <f t="shared" si="16"/>
        <v>0.23858560535900958</v>
      </c>
      <c r="D318" s="11">
        <f t="shared" si="17"/>
        <v>0.3276315813357526</v>
      </c>
      <c r="E318" s="11">
        <f t="shared" si="18"/>
        <v>1.8420171686628855</v>
      </c>
    </row>
    <row r="319" spans="1:5">
      <c r="A319" s="15">
        <f t="shared" si="19"/>
        <v>39600</v>
      </c>
      <c r="B319" s="11">
        <v>1.0076996934894165</v>
      </c>
      <c r="C319" s="11">
        <f t="shared" si="16"/>
        <v>0.23858560535900958</v>
      </c>
      <c r="D319" s="11">
        <f t="shared" si="17"/>
        <v>0.3276315813357526</v>
      </c>
      <c r="E319" s="11">
        <f t="shared" si="18"/>
        <v>2.347496798064252</v>
      </c>
    </row>
    <row r="320" spans="1:5">
      <c r="A320" s="15">
        <f t="shared" si="19"/>
        <v>39630</v>
      </c>
      <c r="B320" s="11">
        <v>0.5251011128121934</v>
      </c>
      <c r="C320" s="11">
        <f t="shared" si="16"/>
        <v>0.23858560535900958</v>
      </c>
      <c r="D320" s="11">
        <f t="shared" si="17"/>
        <v>0.3276315813357526</v>
      </c>
      <c r="E320" s="11">
        <f t="shared" si="18"/>
        <v>0.87450515693591346</v>
      </c>
    </row>
    <row r="321" spans="1:5">
      <c r="A321" s="15">
        <f t="shared" si="19"/>
        <v>39661</v>
      </c>
      <c r="B321" s="11">
        <v>-0.39915622556417679</v>
      </c>
      <c r="C321" s="11">
        <f t="shared" si="16"/>
        <v>0.23858560535900958</v>
      </c>
      <c r="D321" s="11">
        <f t="shared" si="17"/>
        <v>0.3276315813357526</v>
      </c>
      <c r="E321" s="11">
        <f t="shared" si="18"/>
        <v>-1.9465212368206861</v>
      </c>
    </row>
    <row r="322" spans="1:5">
      <c r="A322" s="15">
        <f t="shared" si="19"/>
        <v>39692</v>
      </c>
      <c r="B322" s="11">
        <v>-0.13830185406645137</v>
      </c>
      <c r="C322" s="11">
        <f t="shared" si="16"/>
        <v>0.23858560535900958</v>
      </c>
      <c r="D322" s="11">
        <f t="shared" si="17"/>
        <v>0.3276315813357526</v>
      </c>
      <c r="E322" s="11">
        <f t="shared" si="18"/>
        <v>-1.1503392252019551</v>
      </c>
    </row>
    <row r="323" spans="1:5">
      <c r="A323" s="15">
        <f t="shared" si="19"/>
        <v>39722</v>
      </c>
      <c r="B323" s="11">
        <v>-1.0101333284578691</v>
      </c>
      <c r="C323" s="11">
        <f t="shared" ref="C323:C386" si="20">AVERAGE($B$2:$B$541)</f>
        <v>0.23858560535900958</v>
      </c>
      <c r="D323" s="11">
        <f t="shared" ref="D323:D386" si="21">_xlfn.STDEV.S($B$2:$B$541)</f>
        <v>0.3276315813357526</v>
      </c>
      <c r="E323" s="11">
        <f t="shared" ref="E323:E386" si="22">(B323-C323)/D323</f>
        <v>-3.8113509348697607</v>
      </c>
    </row>
    <row r="324" spans="1:5">
      <c r="A324" s="15">
        <f t="shared" ref="A324:A387" si="23">EDATE(A323,1)</f>
        <v>39753</v>
      </c>
      <c r="B324" s="11">
        <v>-1.9152895328595883</v>
      </c>
      <c r="C324" s="11">
        <f t="shared" si="20"/>
        <v>0.23858560535900958</v>
      </c>
      <c r="D324" s="11">
        <f t="shared" si="21"/>
        <v>0.3276315813357526</v>
      </c>
      <c r="E324" s="11">
        <f t="shared" si="22"/>
        <v>-6.5740766791688934</v>
      </c>
    </row>
    <row r="325" spans="1:5">
      <c r="A325" s="15">
        <f t="shared" si="23"/>
        <v>39783</v>
      </c>
      <c r="B325" s="11">
        <v>-1.0342473814287407</v>
      </c>
      <c r="C325" s="11">
        <f t="shared" si="20"/>
        <v>0.23858560535900958</v>
      </c>
      <c r="D325" s="11">
        <f t="shared" si="21"/>
        <v>0.3276315813357526</v>
      </c>
      <c r="E325" s="11">
        <f t="shared" si="22"/>
        <v>-3.8849520598668041</v>
      </c>
    </row>
    <row r="326" spans="1:5">
      <c r="A326" s="15">
        <f t="shared" si="23"/>
        <v>39814</v>
      </c>
      <c r="B326" s="11">
        <v>0.43524173754209339</v>
      </c>
      <c r="C326" s="11">
        <f t="shared" si="20"/>
        <v>0.23858560535900958</v>
      </c>
      <c r="D326" s="11">
        <f t="shared" si="21"/>
        <v>0.3276315813357526</v>
      </c>
      <c r="E326" s="11">
        <f t="shared" si="22"/>
        <v>0.60023557979764219</v>
      </c>
    </row>
    <row r="327" spans="1:5">
      <c r="A327" s="15">
        <f t="shared" si="23"/>
        <v>39845</v>
      </c>
      <c r="B327" s="11">
        <v>0.49729330359046303</v>
      </c>
      <c r="C327" s="11">
        <f t="shared" si="20"/>
        <v>0.23858560535900958</v>
      </c>
      <c r="D327" s="11">
        <f t="shared" si="21"/>
        <v>0.3276315813357526</v>
      </c>
      <c r="E327" s="11">
        <f t="shared" si="22"/>
        <v>0.78962991655658843</v>
      </c>
    </row>
    <row r="328" spans="1:5">
      <c r="A328" s="15">
        <f t="shared" si="23"/>
        <v>39873</v>
      </c>
      <c r="B328" s="11">
        <v>0.24317484554155469</v>
      </c>
      <c r="C328" s="11">
        <f t="shared" si="20"/>
        <v>0.23858560535900958</v>
      </c>
      <c r="D328" s="11">
        <f t="shared" si="21"/>
        <v>0.3276315813357526</v>
      </c>
      <c r="E328" s="11">
        <f t="shared" si="22"/>
        <v>1.4007319330556593E-2</v>
      </c>
    </row>
    <row r="329" spans="1:5">
      <c r="A329" s="15">
        <f t="shared" si="23"/>
        <v>39904</v>
      </c>
      <c r="B329" s="11">
        <v>0.24963682777879914</v>
      </c>
      <c r="C329" s="11">
        <f t="shared" si="20"/>
        <v>0.23858560535900958</v>
      </c>
      <c r="D329" s="11">
        <f t="shared" si="21"/>
        <v>0.3276315813357526</v>
      </c>
      <c r="E329" s="11">
        <f t="shared" si="22"/>
        <v>3.3730638465113087E-2</v>
      </c>
    </row>
    <row r="330" spans="1:5">
      <c r="A330" s="15">
        <f t="shared" si="23"/>
        <v>39934</v>
      </c>
      <c r="B330" s="11">
        <v>0.28887638341773841</v>
      </c>
      <c r="C330" s="11">
        <f t="shared" si="20"/>
        <v>0.23858560535900958</v>
      </c>
      <c r="D330" s="11">
        <f t="shared" si="21"/>
        <v>0.3276315813357526</v>
      </c>
      <c r="E330" s="11">
        <f t="shared" si="22"/>
        <v>0.15349795600806718</v>
      </c>
    </row>
    <row r="331" spans="1:5">
      <c r="A331" s="15">
        <f t="shared" si="23"/>
        <v>39965</v>
      </c>
      <c r="B331" s="11">
        <v>0.85898922639533959</v>
      </c>
      <c r="C331" s="11">
        <f t="shared" si="20"/>
        <v>0.23858560535900958</v>
      </c>
      <c r="D331" s="11">
        <f t="shared" si="21"/>
        <v>0.3276315813357526</v>
      </c>
      <c r="E331" s="11">
        <f t="shared" si="22"/>
        <v>1.8936013998007974</v>
      </c>
    </row>
    <row r="332" spans="1:5">
      <c r="A332" s="15">
        <f t="shared" si="23"/>
        <v>39995</v>
      </c>
      <c r="B332" s="11">
        <v>-0.15855869221533056</v>
      </c>
      <c r="C332" s="11">
        <f t="shared" si="20"/>
        <v>0.23858560535900958</v>
      </c>
      <c r="D332" s="11">
        <f t="shared" si="21"/>
        <v>0.3276315813357526</v>
      </c>
      <c r="E332" s="11">
        <f t="shared" si="22"/>
        <v>-1.2121673251253267</v>
      </c>
    </row>
    <row r="333" spans="1:5">
      <c r="A333" s="15">
        <f t="shared" si="23"/>
        <v>40026</v>
      </c>
      <c r="B333" s="11">
        <v>0.22428500448105843</v>
      </c>
      <c r="C333" s="11">
        <f t="shared" si="20"/>
        <v>0.23858560535900958</v>
      </c>
      <c r="D333" s="11">
        <f t="shared" si="21"/>
        <v>0.3276315813357526</v>
      </c>
      <c r="E333" s="11">
        <f t="shared" si="22"/>
        <v>-4.364842003218268E-2</v>
      </c>
    </row>
    <row r="334" spans="1:5">
      <c r="A334" s="15">
        <f t="shared" si="23"/>
        <v>40057</v>
      </c>
      <c r="B334" s="11">
        <v>6.2548069349588523E-2</v>
      </c>
      <c r="C334" s="11">
        <f t="shared" si="20"/>
        <v>0.23858560535900958</v>
      </c>
      <c r="D334" s="11">
        <f t="shared" si="21"/>
        <v>0.3276315813357526</v>
      </c>
      <c r="E334" s="11">
        <f t="shared" si="22"/>
        <v>-0.53730331884281968</v>
      </c>
    </row>
    <row r="335" spans="1:5">
      <c r="A335" s="15">
        <f t="shared" si="23"/>
        <v>40087</v>
      </c>
      <c r="B335" s="11">
        <v>9.6310118581832763E-2</v>
      </c>
      <c r="C335" s="11">
        <f t="shared" si="20"/>
        <v>0.23858560535900958</v>
      </c>
      <c r="D335" s="11">
        <f t="shared" si="21"/>
        <v>0.3276315813357526</v>
      </c>
      <c r="E335" s="11">
        <f t="shared" si="22"/>
        <v>-0.43425449462814381</v>
      </c>
    </row>
    <row r="336" spans="1:5">
      <c r="A336" s="15">
        <f t="shared" si="23"/>
        <v>40118</v>
      </c>
      <c r="B336" s="11">
        <v>7.0775336876735276E-2</v>
      </c>
      <c r="C336" s="11">
        <f t="shared" si="20"/>
        <v>0.23858560535900958</v>
      </c>
      <c r="D336" s="11">
        <f t="shared" si="21"/>
        <v>0.3276315813357526</v>
      </c>
      <c r="E336" s="11">
        <f t="shared" si="22"/>
        <v>-0.51219198038880298</v>
      </c>
    </row>
    <row r="337" spans="1:5">
      <c r="A337" s="15">
        <f t="shared" si="23"/>
        <v>40148</v>
      </c>
      <c r="B337" s="11">
        <v>-0.17611981694633208</v>
      </c>
      <c r="C337" s="11">
        <f t="shared" si="20"/>
        <v>0.23858560535900958</v>
      </c>
      <c r="D337" s="11">
        <f t="shared" si="21"/>
        <v>0.3276315813357526</v>
      </c>
      <c r="E337" s="11">
        <f t="shared" si="22"/>
        <v>-1.265767544797084</v>
      </c>
    </row>
    <row r="338" spans="1:5">
      <c r="A338" s="15">
        <f t="shared" si="23"/>
        <v>40179</v>
      </c>
      <c r="B338" s="11">
        <v>0.34174735701485048</v>
      </c>
      <c r="C338" s="11">
        <f t="shared" si="20"/>
        <v>0.23858560535900958</v>
      </c>
      <c r="D338" s="11">
        <f t="shared" si="21"/>
        <v>0.3276315813357526</v>
      </c>
      <c r="E338" s="11">
        <f t="shared" si="22"/>
        <v>0.31487120757788634</v>
      </c>
    </row>
    <row r="339" spans="1:5">
      <c r="A339" s="15">
        <f t="shared" si="23"/>
        <v>40210</v>
      </c>
      <c r="B339" s="11">
        <v>2.4920738207646072E-2</v>
      </c>
      <c r="C339" s="11">
        <f t="shared" si="20"/>
        <v>0.23858560535900958</v>
      </c>
      <c r="D339" s="11">
        <f t="shared" si="21"/>
        <v>0.3276315813357526</v>
      </c>
      <c r="E339" s="11">
        <f t="shared" si="22"/>
        <v>-0.65214979056735844</v>
      </c>
    </row>
    <row r="340" spans="1:5">
      <c r="A340" s="15">
        <f t="shared" si="23"/>
        <v>40238</v>
      </c>
      <c r="B340" s="11">
        <v>0.41062835365712358</v>
      </c>
      <c r="C340" s="11">
        <f t="shared" si="20"/>
        <v>0.23858560535900958</v>
      </c>
      <c r="D340" s="11">
        <f t="shared" si="21"/>
        <v>0.3276315813357526</v>
      </c>
      <c r="E340" s="11">
        <f t="shared" si="22"/>
        <v>0.52511039258393966</v>
      </c>
    </row>
    <row r="341" spans="1:5">
      <c r="A341" s="15">
        <f t="shared" si="23"/>
        <v>40269</v>
      </c>
      <c r="B341" s="11">
        <v>0.17368849106974002</v>
      </c>
      <c r="C341" s="11">
        <f t="shared" si="20"/>
        <v>0.23858560535900958</v>
      </c>
      <c r="D341" s="11">
        <f t="shared" si="21"/>
        <v>0.3276315813357526</v>
      </c>
      <c r="E341" s="11">
        <f t="shared" si="22"/>
        <v>-0.1980795441778973</v>
      </c>
    </row>
    <row r="342" spans="1:5">
      <c r="A342" s="15">
        <f t="shared" si="23"/>
        <v>40299</v>
      </c>
      <c r="B342" s="11">
        <v>7.7519735423772024E-2</v>
      </c>
      <c r="C342" s="11">
        <f t="shared" si="20"/>
        <v>0.23858560535900958</v>
      </c>
      <c r="D342" s="11">
        <f t="shared" si="21"/>
        <v>0.3276315813357526</v>
      </c>
      <c r="E342" s="11">
        <f t="shared" si="22"/>
        <v>-0.49160666770453776</v>
      </c>
    </row>
    <row r="343" spans="1:5">
      <c r="A343" s="15">
        <f t="shared" si="23"/>
        <v>40330</v>
      </c>
      <c r="B343" s="11">
        <v>-9.7626708467395365E-2</v>
      </c>
      <c r="C343" s="11">
        <f t="shared" si="20"/>
        <v>0.23858560535900958</v>
      </c>
      <c r="D343" s="11">
        <f t="shared" si="21"/>
        <v>0.3276315813357526</v>
      </c>
      <c r="E343" s="11">
        <f t="shared" si="22"/>
        <v>-1.0261901873307473</v>
      </c>
    </row>
    <row r="344" spans="1:5">
      <c r="A344" s="15">
        <f t="shared" si="23"/>
        <v>40360</v>
      </c>
      <c r="B344" s="11">
        <v>2.1104305737156086E-2</v>
      </c>
      <c r="C344" s="11">
        <f t="shared" si="20"/>
        <v>0.23858560535900958</v>
      </c>
      <c r="D344" s="11">
        <f t="shared" si="21"/>
        <v>0.3276315813357526</v>
      </c>
      <c r="E344" s="11">
        <f t="shared" si="22"/>
        <v>-0.66379833938835553</v>
      </c>
    </row>
    <row r="345" spans="1:5">
      <c r="A345" s="15">
        <f t="shared" si="23"/>
        <v>40391</v>
      </c>
      <c r="B345" s="11">
        <v>0.13806642784080442</v>
      </c>
      <c r="C345" s="11">
        <f t="shared" si="20"/>
        <v>0.23858560535900958</v>
      </c>
      <c r="D345" s="11">
        <f t="shared" si="21"/>
        <v>0.3276315813357526</v>
      </c>
      <c r="E345" s="11">
        <f t="shared" si="22"/>
        <v>-0.30680551950574758</v>
      </c>
    </row>
    <row r="346" spans="1:5">
      <c r="A346" s="15">
        <f t="shared" si="23"/>
        <v>40422</v>
      </c>
      <c r="B346" s="11">
        <v>5.8173623071558649E-2</v>
      </c>
      <c r="C346" s="11">
        <f t="shared" si="20"/>
        <v>0.23858560535900958</v>
      </c>
      <c r="D346" s="11">
        <f t="shared" si="21"/>
        <v>0.3276315813357526</v>
      </c>
      <c r="E346" s="11">
        <f t="shared" si="22"/>
        <v>-0.5506550423250165</v>
      </c>
    </row>
    <row r="347" spans="1:5">
      <c r="A347" s="15">
        <f t="shared" si="23"/>
        <v>40452</v>
      </c>
      <c r="B347" s="11">
        <v>0.12451988884769651</v>
      </c>
      <c r="C347" s="11">
        <f t="shared" si="20"/>
        <v>0.23858560535900958</v>
      </c>
      <c r="D347" s="11">
        <f t="shared" si="21"/>
        <v>0.3276315813357526</v>
      </c>
      <c r="E347" s="11">
        <f t="shared" si="22"/>
        <v>-0.3481523852073955</v>
      </c>
    </row>
    <row r="348" spans="1:5">
      <c r="A348" s="15">
        <f t="shared" si="23"/>
        <v>40483</v>
      </c>
      <c r="B348" s="11">
        <v>4.2064642381949027E-2</v>
      </c>
      <c r="C348" s="11">
        <f t="shared" si="20"/>
        <v>0.23858560535900958</v>
      </c>
      <c r="D348" s="11">
        <f t="shared" si="21"/>
        <v>0.3276315813357526</v>
      </c>
      <c r="E348" s="11">
        <f t="shared" si="22"/>
        <v>-0.59982301515575942</v>
      </c>
    </row>
    <row r="349" spans="1:5">
      <c r="A349" s="15">
        <f t="shared" si="23"/>
        <v>40513</v>
      </c>
      <c r="B349" s="11">
        <v>0.17184407892030948</v>
      </c>
      <c r="C349" s="11">
        <f t="shared" si="20"/>
        <v>0.23858560535900958</v>
      </c>
      <c r="D349" s="11">
        <f t="shared" si="21"/>
        <v>0.3276315813357526</v>
      </c>
      <c r="E349" s="11">
        <f t="shared" si="22"/>
        <v>-0.20370907519536174</v>
      </c>
    </row>
    <row r="350" spans="1:5">
      <c r="A350" s="15">
        <f t="shared" si="23"/>
        <v>40544</v>
      </c>
      <c r="B350" s="11">
        <v>0.47632300539741995</v>
      </c>
      <c r="C350" s="11">
        <f t="shared" si="20"/>
        <v>0.23858560535900958</v>
      </c>
      <c r="D350" s="11">
        <f t="shared" si="21"/>
        <v>0.3276315813357526</v>
      </c>
      <c r="E350" s="11">
        <f t="shared" si="22"/>
        <v>0.72562418759863134</v>
      </c>
    </row>
    <row r="351" spans="1:5">
      <c r="A351" s="15">
        <f t="shared" si="23"/>
        <v>40575</v>
      </c>
      <c r="B351" s="11">
        <v>0.49313650254514024</v>
      </c>
      <c r="C351" s="11">
        <f t="shared" si="20"/>
        <v>0.23858560535900958</v>
      </c>
      <c r="D351" s="11">
        <f t="shared" si="21"/>
        <v>0.3276315813357526</v>
      </c>
      <c r="E351" s="11">
        <f t="shared" si="22"/>
        <v>0.77694249177178742</v>
      </c>
    </row>
    <row r="352" spans="1:5">
      <c r="A352" s="15">
        <f t="shared" si="23"/>
        <v>40603</v>
      </c>
      <c r="B352" s="11">
        <v>0.97510720305094489</v>
      </c>
      <c r="C352" s="11">
        <f t="shared" si="20"/>
        <v>0.23858560535900958</v>
      </c>
      <c r="D352" s="11">
        <f t="shared" si="21"/>
        <v>0.3276315813357526</v>
      </c>
      <c r="E352" s="11">
        <f t="shared" si="22"/>
        <v>2.2480177115073579</v>
      </c>
    </row>
    <row r="353" spans="1:5">
      <c r="A353" s="15">
        <f t="shared" si="23"/>
        <v>40634</v>
      </c>
      <c r="B353" s="11">
        <v>0.64394295354571052</v>
      </c>
      <c r="C353" s="11">
        <f t="shared" si="20"/>
        <v>0.23858560535900958</v>
      </c>
      <c r="D353" s="11">
        <f t="shared" si="21"/>
        <v>0.3276315813357526</v>
      </c>
      <c r="E353" s="11">
        <f t="shared" si="22"/>
        <v>1.2372352705867387</v>
      </c>
    </row>
    <row r="354" spans="1:5">
      <c r="A354" s="15">
        <f t="shared" si="23"/>
        <v>40664</v>
      </c>
      <c r="B354" s="11">
        <v>0.4704187527233567</v>
      </c>
      <c r="C354" s="11">
        <f t="shared" si="20"/>
        <v>0.23858560535900958</v>
      </c>
      <c r="D354" s="11">
        <f t="shared" si="21"/>
        <v>0.3276315813357526</v>
      </c>
      <c r="E354" s="11">
        <f t="shared" si="22"/>
        <v>0.70760317555213803</v>
      </c>
    </row>
    <row r="355" spans="1:5">
      <c r="A355" s="15">
        <f t="shared" si="23"/>
        <v>40695</v>
      </c>
      <c r="B355" s="11">
        <v>-0.10709670566992539</v>
      </c>
      <c r="C355" s="11">
        <f t="shared" si="20"/>
        <v>0.23858560535900958</v>
      </c>
      <c r="D355" s="11">
        <f t="shared" si="21"/>
        <v>0.3276315813357526</v>
      </c>
      <c r="E355" s="11">
        <f t="shared" si="22"/>
        <v>-1.0550945962522589</v>
      </c>
    </row>
    <row r="356" spans="1:5">
      <c r="A356" s="15">
        <f t="shared" si="23"/>
        <v>40725</v>
      </c>
      <c r="B356" s="11">
        <v>8.8604566679361604E-2</v>
      </c>
      <c r="C356" s="11">
        <f t="shared" si="20"/>
        <v>0.23858560535900958</v>
      </c>
      <c r="D356" s="11">
        <f t="shared" si="21"/>
        <v>0.3276315813357526</v>
      </c>
      <c r="E356" s="11">
        <f t="shared" si="22"/>
        <v>-0.45777344805459808</v>
      </c>
    </row>
    <row r="357" spans="1:5">
      <c r="A357" s="15">
        <f t="shared" si="23"/>
        <v>40756</v>
      </c>
      <c r="B357" s="11">
        <v>0.27575889023644906</v>
      </c>
      <c r="C357" s="11">
        <f t="shared" si="20"/>
        <v>0.23858560535900958</v>
      </c>
      <c r="D357" s="11">
        <f t="shared" si="21"/>
        <v>0.3276315813357526</v>
      </c>
      <c r="E357" s="11">
        <f t="shared" si="22"/>
        <v>0.11346062771447171</v>
      </c>
    </row>
    <row r="358" spans="1:5">
      <c r="A358" s="15">
        <f t="shared" si="23"/>
        <v>40787</v>
      </c>
      <c r="B358" s="11">
        <v>0.1518462115694553</v>
      </c>
      <c r="C358" s="11">
        <f t="shared" si="20"/>
        <v>0.23858560535900958</v>
      </c>
      <c r="D358" s="11">
        <f t="shared" si="21"/>
        <v>0.3276315813357526</v>
      </c>
      <c r="E358" s="11">
        <f t="shared" si="22"/>
        <v>-0.26474674216666821</v>
      </c>
    </row>
    <row r="359" spans="1:5">
      <c r="A359" s="15">
        <f t="shared" si="23"/>
        <v>40817</v>
      </c>
      <c r="B359" s="11">
        <v>-0.20626826333582401</v>
      </c>
      <c r="C359" s="11">
        <f t="shared" si="20"/>
        <v>0.23858560535900958</v>
      </c>
      <c r="D359" s="11">
        <f t="shared" si="21"/>
        <v>0.3276315813357526</v>
      </c>
      <c r="E359" s="11">
        <f t="shared" si="22"/>
        <v>-1.3577868985680996</v>
      </c>
    </row>
    <row r="360" spans="1:5">
      <c r="A360" s="15">
        <f t="shared" si="23"/>
        <v>40848</v>
      </c>
      <c r="B360" s="11">
        <v>-8.4356133044197534E-2</v>
      </c>
      <c r="C360" s="11">
        <f t="shared" si="20"/>
        <v>0.23858560535900958</v>
      </c>
      <c r="D360" s="11">
        <f t="shared" si="21"/>
        <v>0.3276315813357526</v>
      </c>
      <c r="E360" s="11">
        <f t="shared" si="22"/>
        <v>-0.98568562006927107</v>
      </c>
    </row>
    <row r="361" spans="1:5">
      <c r="A361" s="15">
        <f t="shared" si="23"/>
        <v>40878</v>
      </c>
      <c r="B361" s="11">
        <v>-0.24665163771382786</v>
      </c>
      <c r="C361" s="11">
        <f t="shared" si="20"/>
        <v>0.23858560535900958</v>
      </c>
      <c r="D361" s="11">
        <f t="shared" si="21"/>
        <v>0.3276315813357526</v>
      </c>
      <c r="E361" s="11">
        <f t="shared" si="22"/>
        <v>-1.4810453897470055</v>
      </c>
    </row>
    <row r="362" spans="1:5">
      <c r="A362" s="15">
        <f t="shared" si="23"/>
        <v>40909</v>
      </c>
      <c r="B362" s="11">
        <v>0.44001914282675519</v>
      </c>
      <c r="C362" s="11">
        <f t="shared" si="20"/>
        <v>0.23858560535900958</v>
      </c>
      <c r="D362" s="11">
        <f t="shared" si="21"/>
        <v>0.3276315813357526</v>
      </c>
      <c r="E362" s="11">
        <f t="shared" si="22"/>
        <v>0.61481721831119551</v>
      </c>
    </row>
    <row r="363" spans="1:5">
      <c r="A363" s="15">
        <f t="shared" si="23"/>
        <v>40940</v>
      </c>
      <c r="B363" s="11">
        <v>0.44029735512761958</v>
      </c>
      <c r="C363" s="11">
        <f t="shared" si="20"/>
        <v>0.23858560535900958</v>
      </c>
      <c r="D363" s="11">
        <f t="shared" si="21"/>
        <v>0.3276315813357526</v>
      </c>
      <c r="E363" s="11">
        <f t="shared" si="22"/>
        <v>0.61566638034780419</v>
      </c>
    </row>
    <row r="364" spans="1:5">
      <c r="A364" s="15">
        <f t="shared" si="23"/>
        <v>40969</v>
      </c>
      <c r="B364" s="11">
        <v>0.75945586239309193</v>
      </c>
      <c r="C364" s="11">
        <f t="shared" si="20"/>
        <v>0.23858560535900958</v>
      </c>
      <c r="D364" s="11">
        <f t="shared" si="21"/>
        <v>0.3276315813357526</v>
      </c>
      <c r="E364" s="11">
        <f t="shared" si="22"/>
        <v>1.5898047889965201</v>
      </c>
    </row>
    <row r="365" spans="1:5">
      <c r="A365" s="15">
        <f t="shared" si="23"/>
        <v>41000</v>
      </c>
      <c r="B365" s="11">
        <v>0.30210295040804042</v>
      </c>
      <c r="C365" s="11">
        <f t="shared" si="20"/>
        <v>0.23858560535900958</v>
      </c>
      <c r="D365" s="11">
        <f t="shared" si="21"/>
        <v>0.3276315813357526</v>
      </c>
      <c r="E365" s="11">
        <f t="shared" si="22"/>
        <v>0.19386820034280849</v>
      </c>
    </row>
    <row r="366" spans="1:5">
      <c r="A366" s="15">
        <f t="shared" si="23"/>
        <v>41030</v>
      </c>
      <c r="B366" s="11">
        <v>-0.11734793663211865</v>
      </c>
      <c r="C366" s="11">
        <f t="shared" si="20"/>
        <v>0.23858560535900958</v>
      </c>
      <c r="D366" s="11">
        <f t="shared" si="21"/>
        <v>0.3276315813357526</v>
      </c>
      <c r="E366" s="11">
        <f t="shared" si="22"/>
        <v>-1.0863834937400989</v>
      </c>
    </row>
    <row r="367" spans="1:5">
      <c r="A367" s="15">
        <f t="shared" si="23"/>
        <v>41061</v>
      </c>
      <c r="B367" s="11">
        <v>-0.14663968844504888</v>
      </c>
      <c r="C367" s="11">
        <f t="shared" si="20"/>
        <v>0.23858560535900958</v>
      </c>
      <c r="D367" s="11">
        <f t="shared" si="21"/>
        <v>0.3276315813357526</v>
      </c>
      <c r="E367" s="11">
        <f t="shared" si="22"/>
        <v>-1.1757880367744054</v>
      </c>
    </row>
    <row r="368" spans="1:5">
      <c r="A368" s="15">
        <f t="shared" si="23"/>
        <v>41091</v>
      </c>
      <c r="B368" s="11">
        <v>-0.16297858618255137</v>
      </c>
      <c r="C368" s="11">
        <f t="shared" si="20"/>
        <v>0.23858560535900958</v>
      </c>
      <c r="D368" s="11">
        <f t="shared" si="21"/>
        <v>0.3276315813357526</v>
      </c>
      <c r="E368" s="11">
        <f t="shared" si="22"/>
        <v>-1.2256577644450068</v>
      </c>
    </row>
    <row r="369" spans="1:5">
      <c r="A369" s="15">
        <f t="shared" si="23"/>
        <v>41122</v>
      </c>
      <c r="B369" s="11">
        <v>0.5565158181437152</v>
      </c>
      <c r="C369" s="11">
        <f t="shared" si="20"/>
        <v>0.23858560535900958</v>
      </c>
      <c r="D369" s="11">
        <f t="shared" si="21"/>
        <v>0.3276315813357526</v>
      </c>
      <c r="E369" s="11">
        <f t="shared" si="22"/>
        <v>0.9703893974094483</v>
      </c>
    </row>
    <row r="370" spans="1:5">
      <c r="A370" s="15">
        <f t="shared" si="23"/>
        <v>41153</v>
      </c>
      <c r="B370" s="11">
        <v>0.44622122676112841</v>
      </c>
      <c r="C370" s="11">
        <f t="shared" si="20"/>
        <v>0.23858560535900958</v>
      </c>
      <c r="D370" s="11">
        <f t="shared" si="21"/>
        <v>0.3276315813357526</v>
      </c>
      <c r="E370" s="11">
        <f t="shared" si="22"/>
        <v>0.63374727355522098</v>
      </c>
    </row>
    <row r="371" spans="1:5">
      <c r="A371" s="15">
        <f t="shared" si="23"/>
        <v>41183</v>
      </c>
      <c r="B371" s="11">
        <v>-3.8892514055323908E-2</v>
      </c>
      <c r="C371" s="11">
        <f t="shared" si="20"/>
        <v>0.23858560535900958</v>
      </c>
      <c r="D371" s="11">
        <f t="shared" si="21"/>
        <v>0.3276315813357526</v>
      </c>
      <c r="E371" s="11">
        <f t="shared" si="22"/>
        <v>-0.84692116151640917</v>
      </c>
    </row>
    <row r="372" spans="1:5">
      <c r="A372" s="15">
        <f t="shared" si="23"/>
        <v>41214</v>
      </c>
      <c r="B372" s="11">
        <v>-0.47380866948819306</v>
      </c>
      <c r="C372" s="11">
        <f t="shared" si="20"/>
        <v>0.23858560535900958</v>
      </c>
      <c r="D372" s="11">
        <f t="shared" si="21"/>
        <v>0.3276315813357526</v>
      </c>
      <c r="E372" s="11">
        <f t="shared" si="22"/>
        <v>-2.1743760840843676</v>
      </c>
    </row>
    <row r="373" spans="1:5">
      <c r="A373" s="15">
        <f t="shared" si="23"/>
        <v>41244</v>
      </c>
      <c r="B373" s="11">
        <v>-0.26930644902072554</v>
      </c>
      <c r="C373" s="11">
        <f t="shared" si="20"/>
        <v>0.23858560535900958</v>
      </c>
      <c r="D373" s="11">
        <f t="shared" si="21"/>
        <v>0.3276315813357526</v>
      </c>
      <c r="E373" s="11">
        <f t="shared" si="22"/>
        <v>-1.5501926044768375</v>
      </c>
    </row>
    <row r="374" spans="1:5">
      <c r="A374" s="15">
        <f t="shared" si="23"/>
        <v>41275</v>
      </c>
      <c r="B374" s="11">
        <v>0.2957304192925998</v>
      </c>
      <c r="C374" s="11">
        <f t="shared" si="20"/>
        <v>0.23858560535900958</v>
      </c>
      <c r="D374" s="11">
        <f t="shared" si="21"/>
        <v>0.3276315813357526</v>
      </c>
      <c r="E374" s="11">
        <f t="shared" si="22"/>
        <v>0.17441790471056257</v>
      </c>
    </row>
    <row r="375" spans="1:5">
      <c r="A375" s="15">
        <f t="shared" si="23"/>
        <v>41306</v>
      </c>
      <c r="B375" s="11">
        <v>0.81900295292686975</v>
      </c>
      <c r="C375" s="11">
        <f t="shared" si="20"/>
        <v>0.23858560535900958</v>
      </c>
      <c r="D375" s="11">
        <f t="shared" si="21"/>
        <v>0.3276315813357526</v>
      </c>
      <c r="E375" s="11">
        <f t="shared" si="22"/>
        <v>1.7715549435176583</v>
      </c>
    </row>
    <row r="376" spans="1:5">
      <c r="A376" s="15">
        <f t="shared" si="23"/>
        <v>41334</v>
      </c>
      <c r="B376" s="11">
        <v>0.26145085843749699</v>
      </c>
      <c r="C376" s="11">
        <f t="shared" si="20"/>
        <v>0.23858560535900958</v>
      </c>
      <c r="D376" s="11">
        <f t="shared" si="21"/>
        <v>0.3276315813357526</v>
      </c>
      <c r="E376" s="11">
        <f t="shared" si="22"/>
        <v>6.9789526959720641E-2</v>
      </c>
    </row>
    <row r="377" spans="1:5">
      <c r="A377" s="15">
        <f t="shared" si="23"/>
        <v>41365</v>
      </c>
      <c r="B377" s="11">
        <v>-0.10396394770870773</v>
      </c>
      <c r="C377" s="11">
        <f t="shared" si="20"/>
        <v>0.23858560535900958</v>
      </c>
      <c r="D377" s="11">
        <f t="shared" si="21"/>
        <v>0.3276315813357526</v>
      </c>
      <c r="E377" s="11">
        <f t="shared" si="22"/>
        <v>-1.0455327647937485</v>
      </c>
    </row>
    <row r="378" spans="1:5">
      <c r="A378" s="15">
        <f t="shared" si="23"/>
        <v>41395</v>
      </c>
      <c r="B378" s="11">
        <v>0.17804077735871229</v>
      </c>
      <c r="C378" s="11">
        <f t="shared" si="20"/>
        <v>0.23858560535900958</v>
      </c>
      <c r="D378" s="11">
        <f t="shared" si="21"/>
        <v>0.3276315813357526</v>
      </c>
      <c r="E378" s="11">
        <f t="shared" si="22"/>
        <v>-0.18479545760960001</v>
      </c>
    </row>
    <row r="379" spans="1:5">
      <c r="A379" s="15">
        <f t="shared" si="23"/>
        <v>41426</v>
      </c>
      <c r="B379" s="11">
        <v>0.23997080855995942</v>
      </c>
      <c r="C379" s="11">
        <f t="shared" si="20"/>
        <v>0.23858560535900958</v>
      </c>
      <c r="D379" s="11">
        <f t="shared" si="21"/>
        <v>0.3276315813357526</v>
      </c>
      <c r="E379" s="11">
        <f t="shared" si="22"/>
        <v>4.2279294178612873E-3</v>
      </c>
    </row>
    <row r="380" spans="1:5">
      <c r="A380" s="15">
        <f t="shared" si="23"/>
        <v>41456</v>
      </c>
      <c r="B380" s="11">
        <v>3.9399753323289093E-2</v>
      </c>
      <c r="C380" s="11">
        <f t="shared" si="20"/>
        <v>0.23858560535900958</v>
      </c>
      <c r="D380" s="11">
        <f t="shared" si="21"/>
        <v>0.3276315813357526</v>
      </c>
      <c r="E380" s="11">
        <f t="shared" si="22"/>
        <v>-0.60795681302651161</v>
      </c>
    </row>
    <row r="381" spans="1:5">
      <c r="A381" s="15">
        <f t="shared" si="23"/>
        <v>41487</v>
      </c>
      <c r="B381" s="11">
        <v>0.12029315570472349</v>
      </c>
      <c r="C381" s="11">
        <f t="shared" si="20"/>
        <v>0.23858560535900958</v>
      </c>
      <c r="D381" s="11">
        <f t="shared" si="21"/>
        <v>0.3276315813357526</v>
      </c>
      <c r="E381" s="11">
        <f t="shared" si="22"/>
        <v>-0.36105325735696253</v>
      </c>
    </row>
    <row r="382" spans="1:5">
      <c r="A382" s="15">
        <f t="shared" si="23"/>
        <v>41518</v>
      </c>
      <c r="B382" s="11">
        <v>0.11630044852635846</v>
      </c>
      <c r="C382" s="11">
        <f t="shared" si="20"/>
        <v>0.23858560535900958</v>
      </c>
      <c r="D382" s="11">
        <f t="shared" si="21"/>
        <v>0.3276315813357526</v>
      </c>
      <c r="E382" s="11">
        <f t="shared" si="22"/>
        <v>-0.37323983339486089</v>
      </c>
    </row>
    <row r="383" spans="1:5">
      <c r="A383" s="15">
        <f t="shared" si="23"/>
        <v>41548</v>
      </c>
      <c r="B383" s="11">
        <v>-0.2575283259804691</v>
      </c>
      <c r="C383" s="11">
        <f t="shared" si="20"/>
        <v>0.23858560535900958</v>
      </c>
      <c r="D383" s="11">
        <f t="shared" si="21"/>
        <v>0.3276315813357526</v>
      </c>
      <c r="E383" s="11">
        <f t="shared" si="22"/>
        <v>-1.5142433135316939</v>
      </c>
    </row>
    <row r="384" spans="1:5">
      <c r="A384" s="15">
        <f t="shared" si="23"/>
        <v>41579</v>
      </c>
      <c r="B384" s="11">
        <v>-0.20424241905235108</v>
      </c>
      <c r="C384" s="11">
        <f t="shared" si="20"/>
        <v>0.23858560535900958</v>
      </c>
      <c r="D384" s="11">
        <f t="shared" si="21"/>
        <v>0.3276315813357526</v>
      </c>
      <c r="E384" s="11">
        <f t="shared" si="22"/>
        <v>-1.3516035987921331</v>
      </c>
    </row>
    <row r="385" spans="1:5">
      <c r="A385" s="15">
        <f t="shared" si="23"/>
        <v>41609</v>
      </c>
      <c r="B385" s="11">
        <v>-8.5811497882523242E-3</v>
      </c>
      <c r="C385" s="11">
        <f t="shared" si="20"/>
        <v>0.23858560535900958</v>
      </c>
      <c r="D385" s="11">
        <f t="shared" si="21"/>
        <v>0.3276315813357526</v>
      </c>
      <c r="E385" s="11">
        <f t="shared" si="22"/>
        <v>-0.7544045483636348</v>
      </c>
    </row>
    <row r="386" spans="1:5">
      <c r="A386" s="15">
        <f t="shared" si="23"/>
        <v>41640</v>
      </c>
      <c r="B386" s="11">
        <v>0.37202476732360584</v>
      </c>
      <c r="C386" s="11">
        <f t="shared" si="20"/>
        <v>0.23858560535900958</v>
      </c>
      <c r="D386" s="11">
        <f t="shared" si="21"/>
        <v>0.3276315813357526</v>
      </c>
      <c r="E386" s="11">
        <f t="shared" si="22"/>
        <v>0.40728418615984868</v>
      </c>
    </row>
    <row r="387" spans="1:5">
      <c r="A387" s="15">
        <f t="shared" si="23"/>
        <v>41671</v>
      </c>
      <c r="B387" s="11">
        <v>0.36979086509687625</v>
      </c>
      <c r="C387" s="11">
        <f t="shared" ref="C387:C450" si="24">AVERAGE($B$2:$B$541)</f>
        <v>0.23858560535900958</v>
      </c>
      <c r="D387" s="11">
        <f t="shared" ref="D387:D450" si="25">_xlfn.STDEV.S($B$2:$B$541)</f>
        <v>0.3276315813357526</v>
      </c>
      <c r="E387" s="11">
        <f t="shared" ref="E387:E450" si="26">(B387-C387)/D387</f>
        <v>0.40046585009584051</v>
      </c>
    </row>
    <row r="388" spans="1:5">
      <c r="A388" s="15">
        <f t="shared" ref="A388:A451" si="27">EDATE(A387,1)</f>
        <v>41699</v>
      </c>
      <c r="B388" s="11">
        <v>0.64400441262282737</v>
      </c>
      <c r="C388" s="11">
        <f t="shared" si="24"/>
        <v>0.23858560535900958</v>
      </c>
      <c r="D388" s="11">
        <f t="shared" si="25"/>
        <v>0.3276315813357526</v>
      </c>
      <c r="E388" s="11">
        <f t="shared" si="26"/>
        <v>1.2374228565235592</v>
      </c>
    </row>
    <row r="389" spans="1:5">
      <c r="A389" s="15">
        <f t="shared" si="27"/>
        <v>41730</v>
      </c>
      <c r="B389" s="11">
        <v>0.32967544531577164</v>
      </c>
      <c r="C389" s="11">
        <f t="shared" si="24"/>
        <v>0.23858560535900958</v>
      </c>
      <c r="D389" s="11">
        <f t="shared" si="25"/>
        <v>0.3276315813357526</v>
      </c>
      <c r="E389" s="11">
        <f t="shared" si="26"/>
        <v>0.27802521229909877</v>
      </c>
    </row>
    <row r="390" spans="1:5">
      <c r="A390" s="15">
        <f t="shared" si="27"/>
        <v>41760</v>
      </c>
      <c r="B390" s="11">
        <v>0.3492609840048605</v>
      </c>
      <c r="C390" s="11">
        <f t="shared" si="24"/>
        <v>0.23858560535900958</v>
      </c>
      <c r="D390" s="11">
        <f t="shared" si="25"/>
        <v>0.3276315813357526</v>
      </c>
      <c r="E390" s="11">
        <f t="shared" si="26"/>
        <v>0.33780436609507503</v>
      </c>
    </row>
    <row r="391" spans="1:5">
      <c r="A391" s="15">
        <f t="shared" si="27"/>
        <v>41791</v>
      </c>
      <c r="B391" s="11">
        <v>0.18621269440940882</v>
      </c>
      <c r="C391" s="11">
        <f t="shared" si="24"/>
        <v>0.23858560535900958</v>
      </c>
      <c r="D391" s="11">
        <f t="shared" si="25"/>
        <v>0.3276315813357526</v>
      </c>
      <c r="E391" s="11">
        <f t="shared" si="26"/>
        <v>-0.15985306036761357</v>
      </c>
    </row>
    <row r="392" spans="1:5">
      <c r="A392" s="15">
        <f t="shared" si="27"/>
        <v>41821</v>
      </c>
      <c r="B392" s="11">
        <v>-3.9019396416084935E-2</v>
      </c>
      <c r="C392" s="11">
        <f t="shared" si="24"/>
        <v>0.23858560535900958</v>
      </c>
      <c r="D392" s="11">
        <f t="shared" si="25"/>
        <v>0.3276315813357526</v>
      </c>
      <c r="E392" s="11">
        <f t="shared" si="26"/>
        <v>-0.84730843297614977</v>
      </c>
    </row>
    <row r="393" spans="1:5">
      <c r="A393" s="15">
        <f t="shared" si="27"/>
        <v>41852</v>
      </c>
      <c r="B393" s="11">
        <v>-0.16705141657922187</v>
      </c>
      <c r="C393" s="11">
        <f t="shared" si="24"/>
        <v>0.23858560535900958</v>
      </c>
      <c r="D393" s="11">
        <f t="shared" si="25"/>
        <v>0.3276315813357526</v>
      </c>
      <c r="E393" s="11">
        <f t="shared" si="26"/>
        <v>-1.2380888932759504</v>
      </c>
    </row>
    <row r="394" spans="1:5">
      <c r="A394" s="15">
        <f t="shared" si="27"/>
        <v>41883</v>
      </c>
      <c r="B394" s="11">
        <v>7.5256882431092464E-2</v>
      </c>
      <c r="C394" s="11">
        <f t="shared" si="24"/>
        <v>0.23858560535900958</v>
      </c>
      <c r="D394" s="11">
        <f t="shared" si="25"/>
        <v>0.3276315813357526</v>
      </c>
      <c r="E394" s="11">
        <f t="shared" si="26"/>
        <v>-0.49851336755152414</v>
      </c>
    </row>
    <row r="395" spans="1:5">
      <c r="A395" s="15">
        <f t="shared" si="27"/>
        <v>41913</v>
      </c>
      <c r="B395" s="11">
        <v>-0.25122778125538825</v>
      </c>
      <c r="C395" s="11">
        <f t="shared" si="24"/>
        <v>0.23858560535900958</v>
      </c>
      <c r="D395" s="11">
        <f t="shared" si="25"/>
        <v>0.3276315813357526</v>
      </c>
      <c r="E395" s="11">
        <f t="shared" si="26"/>
        <v>-1.4950127353945266</v>
      </c>
    </row>
    <row r="396" spans="1:5">
      <c r="A396" s="15">
        <f t="shared" si="27"/>
        <v>41944</v>
      </c>
      <c r="B396" s="11">
        <v>-0.53994179410611931</v>
      </c>
      <c r="C396" s="11">
        <f t="shared" si="24"/>
        <v>0.23858560535900958</v>
      </c>
      <c r="D396" s="11">
        <f t="shared" si="25"/>
        <v>0.3276315813357526</v>
      </c>
      <c r="E396" s="11">
        <f t="shared" si="26"/>
        <v>-2.3762281898804627</v>
      </c>
    </row>
    <row r="397" spans="1:5">
      <c r="A397" s="15">
        <f t="shared" si="27"/>
        <v>41974</v>
      </c>
      <c r="B397" s="11">
        <v>-0.56701009100109612</v>
      </c>
      <c r="C397" s="11">
        <f t="shared" si="24"/>
        <v>0.23858560535900958</v>
      </c>
      <c r="D397" s="11">
        <f t="shared" si="25"/>
        <v>0.3276315813357526</v>
      </c>
      <c r="E397" s="11">
        <f t="shared" si="26"/>
        <v>-2.4588462842186805</v>
      </c>
    </row>
    <row r="398" spans="1:5">
      <c r="A398" s="15">
        <f t="shared" si="27"/>
        <v>42005</v>
      </c>
      <c r="B398" s="11">
        <v>-0.47058923734733238</v>
      </c>
      <c r="C398" s="11">
        <f t="shared" si="24"/>
        <v>0.23858560535900958</v>
      </c>
      <c r="D398" s="11">
        <f t="shared" si="25"/>
        <v>0.3276315813357526</v>
      </c>
      <c r="E398" s="11">
        <f t="shared" si="26"/>
        <v>-2.1645497049308835</v>
      </c>
    </row>
    <row r="399" spans="1:5">
      <c r="A399" s="15">
        <f t="shared" si="27"/>
        <v>42036</v>
      </c>
      <c r="B399" s="11">
        <v>0.43430449237721369</v>
      </c>
      <c r="C399" s="11">
        <f t="shared" si="24"/>
        <v>0.23858560535900958</v>
      </c>
      <c r="D399" s="11">
        <f t="shared" si="25"/>
        <v>0.3276315813357526</v>
      </c>
      <c r="E399" s="11">
        <f t="shared" si="26"/>
        <v>0.59737491184536917</v>
      </c>
    </row>
    <row r="400" spans="1:5">
      <c r="A400" s="15">
        <f t="shared" si="27"/>
        <v>42064</v>
      </c>
      <c r="B400" s="11">
        <v>0.5951721611097347</v>
      </c>
      <c r="C400" s="11">
        <f t="shared" si="24"/>
        <v>0.23858560535900958</v>
      </c>
      <c r="D400" s="11">
        <f t="shared" si="25"/>
        <v>0.3276315813357526</v>
      </c>
      <c r="E400" s="11">
        <f t="shared" si="26"/>
        <v>1.0883766280922103</v>
      </c>
    </row>
    <row r="401" spans="1:5">
      <c r="A401" s="15">
        <f t="shared" si="27"/>
        <v>42095</v>
      </c>
      <c r="B401" s="11">
        <v>0.20328732545876857</v>
      </c>
      <c r="C401" s="11">
        <f t="shared" si="24"/>
        <v>0.23858560535900958</v>
      </c>
      <c r="D401" s="11">
        <f t="shared" si="25"/>
        <v>0.3276315813357526</v>
      </c>
      <c r="E401" s="11">
        <f t="shared" si="26"/>
        <v>-0.1077377209984766</v>
      </c>
    </row>
    <row r="402" spans="1:5">
      <c r="A402" s="15">
        <f t="shared" si="27"/>
        <v>42125</v>
      </c>
      <c r="B402" s="11">
        <v>0.50972320254946868</v>
      </c>
      <c r="C402" s="11">
        <f t="shared" si="24"/>
        <v>0.23858560535900958</v>
      </c>
      <c r="D402" s="11">
        <f t="shared" si="25"/>
        <v>0.3276315813357526</v>
      </c>
      <c r="E402" s="11">
        <f t="shared" si="26"/>
        <v>0.82756856370509901</v>
      </c>
    </row>
    <row r="403" spans="1:5">
      <c r="A403" s="15">
        <f t="shared" si="27"/>
        <v>42156</v>
      </c>
      <c r="B403" s="11">
        <v>0.35028699985281991</v>
      </c>
      <c r="C403" s="11">
        <f t="shared" si="24"/>
        <v>0.23858560535900958</v>
      </c>
      <c r="D403" s="11">
        <f t="shared" si="25"/>
        <v>0.3276315813357526</v>
      </c>
      <c r="E403" s="11">
        <f t="shared" si="26"/>
        <v>0.34093598070858805</v>
      </c>
    </row>
    <row r="404" spans="1:5">
      <c r="A404" s="15">
        <f t="shared" si="27"/>
        <v>42186</v>
      </c>
      <c r="B404" s="11">
        <v>6.7047159295632423E-3</v>
      </c>
      <c r="C404" s="11">
        <f t="shared" si="24"/>
        <v>0.23858560535900958</v>
      </c>
      <c r="D404" s="11">
        <f t="shared" si="25"/>
        <v>0.3276315813357526</v>
      </c>
      <c r="E404" s="11">
        <f t="shared" si="26"/>
        <v>-0.70774889430398902</v>
      </c>
    </row>
    <row r="405" spans="1:5">
      <c r="A405" s="15">
        <f t="shared" si="27"/>
        <v>42217</v>
      </c>
      <c r="B405" s="11">
        <v>-0.14162762828194536</v>
      </c>
      <c r="C405" s="11">
        <f t="shared" si="24"/>
        <v>0.23858560535900958</v>
      </c>
      <c r="D405" s="11">
        <f t="shared" si="25"/>
        <v>0.3276315813357526</v>
      </c>
      <c r="E405" s="11">
        <f t="shared" si="26"/>
        <v>-1.1604901825728373</v>
      </c>
    </row>
    <row r="406" spans="1:5">
      <c r="A406" s="15">
        <f t="shared" si="27"/>
        <v>42248</v>
      </c>
      <c r="B406" s="11">
        <v>-0.15567565753034179</v>
      </c>
      <c r="C406" s="11">
        <f t="shared" si="24"/>
        <v>0.23858560535900958</v>
      </c>
      <c r="D406" s="11">
        <f t="shared" si="25"/>
        <v>0.3276315813357526</v>
      </c>
      <c r="E406" s="11">
        <f t="shared" si="26"/>
        <v>-1.2033677012513564</v>
      </c>
    </row>
    <row r="407" spans="1:5">
      <c r="A407" s="15">
        <f t="shared" si="27"/>
        <v>42278</v>
      </c>
      <c r="B407" s="11">
        <v>-4.496837504465289E-2</v>
      </c>
      <c r="C407" s="11">
        <f t="shared" si="24"/>
        <v>0.23858560535900958</v>
      </c>
      <c r="D407" s="11">
        <f t="shared" si="25"/>
        <v>0.3276315813357526</v>
      </c>
      <c r="E407" s="11">
        <f t="shared" si="26"/>
        <v>-0.86546595797515635</v>
      </c>
    </row>
    <row r="408" spans="1:5">
      <c r="A408" s="15">
        <f t="shared" si="27"/>
        <v>42309</v>
      </c>
      <c r="B408" s="11">
        <v>-0.21106803790814804</v>
      </c>
      <c r="C408" s="11">
        <f t="shared" si="24"/>
        <v>0.23858560535900958</v>
      </c>
      <c r="D408" s="11">
        <f t="shared" si="25"/>
        <v>0.3276315813357526</v>
      </c>
      <c r="E408" s="11">
        <f t="shared" si="26"/>
        <v>-1.3724368128185982</v>
      </c>
    </row>
    <row r="409" spans="1:5">
      <c r="A409" s="15">
        <f t="shared" si="27"/>
        <v>42339</v>
      </c>
      <c r="B409" s="11">
        <v>-0.34170964371187135</v>
      </c>
      <c r="C409" s="11">
        <f t="shared" si="24"/>
        <v>0.23858560535900958</v>
      </c>
      <c r="D409" s="11">
        <f t="shared" si="25"/>
        <v>0.3276315813357526</v>
      </c>
      <c r="E409" s="11">
        <f t="shared" si="26"/>
        <v>-1.7711822734091127</v>
      </c>
    </row>
    <row r="410" spans="1:5">
      <c r="A410" s="15">
        <f t="shared" si="27"/>
        <v>42370</v>
      </c>
      <c r="B410" s="11">
        <v>0.16531022090687714</v>
      </c>
      <c r="C410" s="11">
        <f t="shared" si="24"/>
        <v>0.23858560535900958</v>
      </c>
      <c r="D410" s="11">
        <f t="shared" si="25"/>
        <v>0.3276315813357526</v>
      </c>
      <c r="E410" s="11">
        <f t="shared" si="26"/>
        <v>-0.22365177420744667</v>
      </c>
    </row>
    <row r="411" spans="1:5">
      <c r="A411" s="15">
        <f t="shared" si="27"/>
        <v>42401</v>
      </c>
      <c r="B411" s="11">
        <v>8.2307653345486662E-2</v>
      </c>
      <c r="C411" s="11">
        <f t="shared" si="24"/>
        <v>0.23858560535900958</v>
      </c>
      <c r="D411" s="11">
        <f t="shared" si="25"/>
        <v>0.3276315813357526</v>
      </c>
      <c r="E411" s="11">
        <f t="shared" si="26"/>
        <v>-0.47699294242752283</v>
      </c>
    </row>
    <row r="412" spans="1:5">
      <c r="A412" s="15">
        <f t="shared" si="27"/>
        <v>42430</v>
      </c>
      <c r="B412" s="11">
        <v>0.43060001433928202</v>
      </c>
      <c r="C412" s="11">
        <f t="shared" si="24"/>
        <v>0.23858560535900958</v>
      </c>
      <c r="D412" s="11">
        <f t="shared" si="25"/>
        <v>0.3276315813357526</v>
      </c>
      <c r="E412" s="11">
        <f t="shared" si="26"/>
        <v>0.5860680713300912</v>
      </c>
    </row>
    <row r="413" spans="1:5">
      <c r="A413" s="15">
        <f t="shared" si="27"/>
        <v>42461</v>
      </c>
      <c r="B413" s="11">
        <v>0.47410679791039867</v>
      </c>
      <c r="C413" s="11">
        <f t="shared" si="24"/>
        <v>0.23858560535900958</v>
      </c>
      <c r="D413" s="11">
        <f t="shared" si="25"/>
        <v>0.3276315813357526</v>
      </c>
      <c r="E413" s="11">
        <f t="shared" si="26"/>
        <v>0.71885985957510623</v>
      </c>
    </row>
    <row r="414" spans="1:5">
      <c r="A414" s="15">
        <f t="shared" si="27"/>
        <v>42491</v>
      </c>
      <c r="B414" s="11">
        <v>0.4045790998115103</v>
      </c>
      <c r="C414" s="11">
        <f t="shared" si="24"/>
        <v>0.23858560535900958</v>
      </c>
      <c r="D414" s="11">
        <f t="shared" si="25"/>
        <v>0.3276315813357526</v>
      </c>
      <c r="E414" s="11">
        <f t="shared" si="26"/>
        <v>0.50664680668373274</v>
      </c>
    </row>
    <row r="415" spans="1:5">
      <c r="A415" s="15">
        <f t="shared" si="27"/>
        <v>42522</v>
      </c>
      <c r="B415" s="11">
        <v>0.32843661672819985</v>
      </c>
      <c r="C415" s="11">
        <f t="shared" si="24"/>
        <v>0.23858560535900958</v>
      </c>
      <c r="D415" s="11">
        <f t="shared" si="25"/>
        <v>0.3276315813357526</v>
      </c>
      <c r="E415" s="11">
        <f t="shared" si="26"/>
        <v>0.27424404876620279</v>
      </c>
    </row>
    <row r="416" spans="1:5">
      <c r="A416" s="15">
        <f t="shared" si="27"/>
        <v>42552</v>
      </c>
      <c r="B416" s="11">
        <v>-0.16181364047499139</v>
      </c>
      <c r="C416" s="11">
        <f t="shared" si="24"/>
        <v>0.23858560535900958</v>
      </c>
      <c r="D416" s="11">
        <f t="shared" si="25"/>
        <v>0.3276315813357526</v>
      </c>
      <c r="E416" s="11">
        <f t="shared" si="26"/>
        <v>-1.2221021068896196</v>
      </c>
    </row>
    <row r="417" spans="1:5">
      <c r="A417" s="15">
        <f t="shared" si="27"/>
        <v>42583</v>
      </c>
      <c r="B417" s="11">
        <v>9.1843010788438442E-2</v>
      </c>
      <c r="C417" s="11">
        <f t="shared" si="24"/>
        <v>0.23858560535900958</v>
      </c>
      <c r="D417" s="11">
        <f t="shared" si="25"/>
        <v>0.3276315813357526</v>
      </c>
      <c r="E417" s="11">
        <f t="shared" si="26"/>
        <v>-0.44788904040417044</v>
      </c>
    </row>
    <row r="418" spans="1:5">
      <c r="A418" s="15">
        <f t="shared" si="27"/>
        <v>42614</v>
      </c>
      <c r="B418" s="11">
        <v>0.24039958646289075</v>
      </c>
      <c r="C418" s="11">
        <f t="shared" si="24"/>
        <v>0.23858560535900958</v>
      </c>
      <c r="D418" s="11">
        <f t="shared" si="25"/>
        <v>0.3276315813357526</v>
      </c>
      <c r="E418" s="11">
        <f t="shared" si="26"/>
        <v>5.536649112047075E-3</v>
      </c>
    </row>
    <row r="419" spans="1:5">
      <c r="A419" s="15">
        <f t="shared" si="27"/>
        <v>42644</v>
      </c>
      <c r="B419" s="11">
        <v>0.12467485130142988</v>
      </c>
      <c r="C419" s="11">
        <f t="shared" si="24"/>
        <v>0.23858560535900958</v>
      </c>
      <c r="D419" s="11">
        <f t="shared" si="25"/>
        <v>0.3276315813357526</v>
      </c>
      <c r="E419" s="11">
        <f t="shared" si="26"/>
        <v>-0.34767940744041226</v>
      </c>
    </row>
    <row r="420" spans="1:5">
      <c r="A420" s="15">
        <f t="shared" si="27"/>
        <v>42675</v>
      </c>
      <c r="B420" s="11">
        <v>-0.15554608673349277</v>
      </c>
      <c r="C420" s="11">
        <f t="shared" si="24"/>
        <v>0.23858560535900958</v>
      </c>
      <c r="D420" s="11">
        <f t="shared" si="25"/>
        <v>0.3276315813357526</v>
      </c>
      <c r="E420" s="11">
        <f t="shared" si="26"/>
        <v>-1.2029722241232943</v>
      </c>
    </row>
    <row r="421" spans="1:5">
      <c r="A421" s="15">
        <f t="shared" si="27"/>
        <v>42705</v>
      </c>
      <c r="B421" s="11">
        <v>3.2732139231739114E-2</v>
      </c>
      <c r="C421" s="11">
        <f t="shared" si="24"/>
        <v>0.23858560535900958</v>
      </c>
      <c r="D421" s="11">
        <f t="shared" si="25"/>
        <v>0.3276315813357526</v>
      </c>
      <c r="E421" s="11">
        <f t="shared" si="26"/>
        <v>-0.62830776351903173</v>
      </c>
    </row>
    <row r="422" spans="1:5">
      <c r="A422" s="15">
        <f t="shared" si="27"/>
        <v>42736</v>
      </c>
      <c r="B422" s="11">
        <v>0.58277278902548568</v>
      </c>
      <c r="C422" s="11">
        <f t="shared" si="24"/>
        <v>0.23858560535900958</v>
      </c>
      <c r="D422" s="11">
        <f t="shared" si="25"/>
        <v>0.3276315813357526</v>
      </c>
      <c r="E422" s="11">
        <f t="shared" si="26"/>
        <v>1.050531155339868</v>
      </c>
    </row>
    <row r="423" spans="1:5">
      <c r="A423" s="15">
        <f t="shared" si="27"/>
        <v>42767</v>
      </c>
      <c r="B423" s="11">
        <v>0.31461173864165559</v>
      </c>
      <c r="C423" s="11">
        <f t="shared" si="24"/>
        <v>0.23858560535900958</v>
      </c>
      <c r="D423" s="11">
        <f t="shared" si="25"/>
        <v>0.3276315813357526</v>
      </c>
      <c r="E423" s="11">
        <f t="shared" si="26"/>
        <v>0.2320476340305406</v>
      </c>
    </row>
    <row r="424" spans="1:5">
      <c r="A424" s="15">
        <f t="shared" si="27"/>
        <v>42795</v>
      </c>
      <c r="B424" s="11">
        <v>8.1279787194730391E-2</v>
      </c>
      <c r="C424" s="11">
        <f t="shared" si="24"/>
        <v>0.23858560535900958</v>
      </c>
      <c r="D424" s="11">
        <f t="shared" si="25"/>
        <v>0.3276315813357526</v>
      </c>
      <c r="E424" s="11">
        <f t="shared" si="26"/>
        <v>-0.48013020455153932</v>
      </c>
    </row>
    <row r="425" spans="1:5">
      <c r="A425" s="15">
        <f t="shared" si="27"/>
        <v>42826</v>
      </c>
      <c r="B425" s="11">
        <v>0.29655333653266935</v>
      </c>
      <c r="C425" s="11">
        <f t="shared" si="24"/>
        <v>0.23858560535900958</v>
      </c>
      <c r="D425" s="11">
        <f t="shared" si="25"/>
        <v>0.3276315813357526</v>
      </c>
      <c r="E425" s="11">
        <f t="shared" si="26"/>
        <v>0.17692961996314754</v>
      </c>
    </row>
    <row r="426" spans="1:5">
      <c r="A426" s="15">
        <f t="shared" si="27"/>
        <v>42856</v>
      </c>
      <c r="B426" s="11">
        <v>8.5472182689635037E-2</v>
      </c>
      <c r="C426" s="11">
        <f t="shared" si="24"/>
        <v>0.23858560535900958</v>
      </c>
      <c r="D426" s="11">
        <f t="shared" si="25"/>
        <v>0.3276315813357526</v>
      </c>
      <c r="E426" s="11">
        <f t="shared" si="26"/>
        <v>-0.46733413807402746</v>
      </c>
    </row>
    <row r="427" spans="1:5">
      <c r="A427" s="15">
        <f t="shared" si="27"/>
        <v>42887</v>
      </c>
      <c r="B427" s="11">
        <v>9.0711101486112791E-2</v>
      </c>
      <c r="C427" s="11">
        <f t="shared" si="24"/>
        <v>0.23858560535900958</v>
      </c>
      <c r="D427" s="11">
        <f t="shared" si="25"/>
        <v>0.3276315813357526</v>
      </c>
      <c r="E427" s="11">
        <f t="shared" si="26"/>
        <v>-0.45134386395234877</v>
      </c>
    </row>
    <row r="428" spans="1:5">
      <c r="A428" s="15">
        <f t="shared" si="27"/>
        <v>42917</v>
      </c>
      <c r="B428" s="11">
        <v>-6.8992263885207947E-2</v>
      </c>
      <c r="C428" s="11">
        <f t="shared" si="24"/>
        <v>0.23858560535900958</v>
      </c>
      <c r="D428" s="11">
        <f t="shared" si="25"/>
        <v>0.3276315813357526</v>
      </c>
      <c r="E428" s="11">
        <f t="shared" si="26"/>
        <v>-0.93879188321902252</v>
      </c>
    </row>
    <row r="429" spans="1:5">
      <c r="A429" s="15">
        <f t="shared" si="27"/>
        <v>42948</v>
      </c>
      <c r="B429" s="11">
        <v>0.29944522971085114</v>
      </c>
      <c r="C429" s="11">
        <f t="shared" si="24"/>
        <v>0.23858560535900958</v>
      </c>
      <c r="D429" s="11">
        <f t="shared" si="25"/>
        <v>0.3276315813357526</v>
      </c>
      <c r="E429" s="11">
        <f t="shared" si="26"/>
        <v>0.18575628180811241</v>
      </c>
    </row>
    <row r="430" spans="1:5">
      <c r="A430" s="15">
        <f t="shared" si="27"/>
        <v>42979</v>
      </c>
      <c r="B430" s="11">
        <v>0.52949058932301896</v>
      </c>
      <c r="C430" s="11">
        <f t="shared" si="24"/>
        <v>0.23858560535900958</v>
      </c>
      <c r="D430" s="11">
        <f t="shared" si="25"/>
        <v>0.3276315813357526</v>
      </c>
      <c r="E430" s="11">
        <f t="shared" si="26"/>
        <v>0.8879027558271122</v>
      </c>
    </row>
    <row r="431" spans="1:5">
      <c r="A431" s="15">
        <f t="shared" si="27"/>
        <v>43009</v>
      </c>
      <c r="B431" s="11">
        <v>-6.3204210372774169E-2</v>
      </c>
      <c r="C431" s="11">
        <f t="shared" si="24"/>
        <v>0.23858560535900958</v>
      </c>
      <c r="D431" s="11">
        <f t="shared" si="25"/>
        <v>0.3276315813357526</v>
      </c>
      <c r="E431" s="11">
        <f t="shared" si="26"/>
        <v>-0.92112553527772856</v>
      </c>
    </row>
    <row r="432" spans="1:5">
      <c r="A432" s="15">
        <f t="shared" si="27"/>
        <v>43040</v>
      </c>
      <c r="B432" s="11">
        <v>2.4324685907494139E-3</v>
      </c>
      <c r="C432" s="11">
        <f t="shared" si="24"/>
        <v>0.23858560535900958</v>
      </c>
      <c r="D432" s="11">
        <f t="shared" si="25"/>
        <v>0.3276315813357526</v>
      </c>
      <c r="E432" s="11">
        <f t="shared" si="26"/>
        <v>-0.72078868528322215</v>
      </c>
    </row>
    <row r="433" spans="1:5">
      <c r="A433" s="15">
        <f t="shared" si="27"/>
        <v>43070</v>
      </c>
      <c r="B433" s="11">
        <v>-5.8783227726228363E-2</v>
      </c>
      <c r="C433" s="11">
        <f t="shared" si="24"/>
        <v>0.23858560535900958</v>
      </c>
      <c r="D433" s="11">
        <f t="shared" si="25"/>
        <v>0.3276315813357526</v>
      </c>
      <c r="E433" s="11">
        <f t="shared" si="26"/>
        <v>-0.90763177308141796</v>
      </c>
    </row>
    <row r="434" spans="1:5">
      <c r="A434" s="15">
        <f t="shared" si="27"/>
        <v>43101</v>
      </c>
      <c r="B434" s="11">
        <v>0.54477454527753455</v>
      </c>
      <c r="C434" s="11">
        <f t="shared" si="24"/>
        <v>0.23858560535900958</v>
      </c>
      <c r="D434" s="11">
        <f t="shared" si="25"/>
        <v>0.3276315813357526</v>
      </c>
      <c r="E434" s="11">
        <f t="shared" si="26"/>
        <v>0.93455258089038284</v>
      </c>
    </row>
    <row r="435" spans="1:5">
      <c r="A435" s="15">
        <f t="shared" si="27"/>
        <v>43132</v>
      </c>
      <c r="B435" s="11">
        <v>0.45346899748656488</v>
      </c>
      <c r="C435" s="11">
        <f t="shared" si="24"/>
        <v>0.23858560535900958</v>
      </c>
      <c r="D435" s="11">
        <f t="shared" si="25"/>
        <v>0.3276315813357526</v>
      </c>
      <c r="E435" s="11">
        <f t="shared" si="26"/>
        <v>0.65586898323866283</v>
      </c>
    </row>
    <row r="436" spans="1:5">
      <c r="A436" s="15">
        <f t="shared" si="27"/>
        <v>43160</v>
      </c>
      <c r="B436" s="11">
        <v>0.2261125904149098</v>
      </c>
      <c r="C436" s="11">
        <f t="shared" si="24"/>
        <v>0.23858560535900958</v>
      </c>
      <c r="D436" s="11">
        <f t="shared" si="25"/>
        <v>0.3276315813357526</v>
      </c>
      <c r="E436" s="11">
        <f t="shared" si="26"/>
        <v>-3.807024613819994E-2</v>
      </c>
    </row>
    <row r="437" spans="1:5">
      <c r="A437" s="15">
        <f t="shared" si="27"/>
        <v>43191</v>
      </c>
      <c r="B437" s="11">
        <v>0.39750915633489753</v>
      </c>
      <c r="C437" s="11">
        <f t="shared" si="24"/>
        <v>0.23858560535900958</v>
      </c>
      <c r="D437" s="11">
        <f t="shared" si="25"/>
        <v>0.3276315813357526</v>
      </c>
      <c r="E437" s="11">
        <f t="shared" si="26"/>
        <v>0.48506786289635845</v>
      </c>
    </row>
    <row r="438" spans="1:5">
      <c r="A438" s="15">
        <f t="shared" si="27"/>
        <v>43221</v>
      </c>
      <c r="B438" s="11">
        <v>0.41589169254348568</v>
      </c>
      <c r="C438" s="11">
        <f t="shared" si="24"/>
        <v>0.23858560535900958</v>
      </c>
      <c r="D438" s="11">
        <f t="shared" si="25"/>
        <v>0.3276315813357526</v>
      </c>
      <c r="E438" s="11">
        <f t="shared" si="26"/>
        <v>0.54117520191917978</v>
      </c>
    </row>
    <row r="439" spans="1:5">
      <c r="A439" s="15">
        <f t="shared" si="27"/>
        <v>43252</v>
      </c>
      <c r="B439" s="11">
        <v>0.15938757015438354</v>
      </c>
      <c r="C439" s="11">
        <f t="shared" si="24"/>
        <v>0.23858560535900958</v>
      </c>
      <c r="D439" s="11">
        <f t="shared" si="25"/>
        <v>0.3276315813357526</v>
      </c>
      <c r="E439" s="11">
        <f t="shared" si="26"/>
        <v>-0.24172894103106904</v>
      </c>
    </row>
    <row r="440" spans="1:5">
      <c r="A440" s="15">
        <f t="shared" si="27"/>
        <v>43282</v>
      </c>
      <c r="B440" s="11">
        <v>6.7463262285242243E-3</v>
      </c>
      <c r="C440" s="11">
        <f t="shared" si="24"/>
        <v>0.23858560535900958</v>
      </c>
      <c r="D440" s="11">
        <f t="shared" si="25"/>
        <v>0.3276315813357526</v>
      </c>
      <c r="E440" s="11">
        <f t="shared" si="26"/>
        <v>-0.70762189098278494</v>
      </c>
    </row>
    <row r="441" spans="1:5">
      <c r="A441" s="15">
        <f t="shared" si="27"/>
        <v>43313</v>
      </c>
      <c r="B441" s="11">
        <v>5.5554232835720724E-2</v>
      </c>
      <c r="C441" s="11">
        <f t="shared" si="24"/>
        <v>0.23858560535900958</v>
      </c>
      <c r="D441" s="11">
        <f t="shared" si="25"/>
        <v>0.3276315813357526</v>
      </c>
      <c r="E441" s="11">
        <f t="shared" si="26"/>
        <v>-0.55864996828776614</v>
      </c>
    </row>
    <row r="442" spans="1:5">
      <c r="A442" s="15">
        <f t="shared" si="27"/>
        <v>43344</v>
      </c>
      <c r="B442" s="11">
        <v>0.11620251758901842</v>
      </c>
      <c r="C442" s="11">
        <f t="shared" si="24"/>
        <v>0.23858560535900958</v>
      </c>
      <c r="D442" s="11">
        <f t="shared" si="25"/>
        <v>0.3276315813357526</v>
      </c>
      <c r="E442" s="11">
        <f t="shared" si="26"/>
        <v>-0.37353873906488444</v>
      </c>
    </row>
    <row r="443" spans="1:5">
      <c r="A443" s="15">
        <f t="shared" si="27"/>
        <v>43374</v>
      </c>
      <c r="B443" s="11">
        <v>0.17667634557259296</v>
      </c>
      <c r="C443" s="11">
        <f t="shared" si="24"/>
        <v>0.23858560535900958</v>
      </c>
      <c r="D443" s="11">
        <f t="shared" si="25"/>
        <v>0.3276315813357526</v>
      </c>
      <c r="E443" s="11">
        <f t="shared" si="26"/>
        <v>-0.18895998833205524</v>
      </c>
    </row>
    <row r="444" spans="1:5">
      <c r="A444" s="15">
        <f t="shared" si="27"/>
        <v>43405</v>
      </c>
      <c r="B444" s="11">
        <v>-0.33493485181010341</v>
      </c>
      <c r="C444" s="11">
        <f t="shared" si="24"/>
        <v>0.23858560535900958</v>
      </c>
      <c r="D444" s="11">
        <f t="shared" si="25"/>
        <v>0.3276315813357526</v>
      </c>
      <c r="E444" s="11">
        <f t="shared" si="26"/>
        <v>-1.7505041938596777</v>
      </c>
    </row>
    <row r="445" spans="1:5">
      <c r="A445" s="15">
        <f t="shared" si="27"/>
        <v>43435</v>
      </c>
      <c r="B445" s="11">
        <v>-0.31939628151310789</v>
      </c>
      <c r="C445" s="11">
        <f t="shared" si="24"/>
        <v>0.23858560535900958</v>
      </c>
      <c r="D445" s="11">
        <f t="shared" si="25"/>
        <v>0.3276315813357526</v>
      </c>
      <c r="E445" s="11">
        <f t="shared" si="26"/>
        <v>-1.7030772326563504</v>
      </c>
    </row>
    <row r="446" spans="1:5">
      <c r="A446" s="15">
        <f t="shared" si="27"/>
        <v>43466</v>
      </c>
      <c r="B446" s="11">
        <v>0.19065966652469418</v>
      </c>
      <c r="C446" s="11">
        <f t="shared" si="24"/>
        <v>0.23858560535900958</v>
      </c>
      <c r="D446" s="11">
        <f t="shared" si="25"/>
        <v>0.3276315813357526</v>
      </c>
      <c r="E446" s="11">
        <f t="shared" si="26"/>
        <v>-0.14627997288576866</v>
      </c>
    </row>
    <row r="447" spans="1:5">
      <c r="A447" s="15">
        <f t="shared" si="27"/>
        <v>43497</v>
      </c>
      <c r="B447" s="11">
        <v>0.42270531400967032</v>
      </c>
      <c r="C447" s="11">
        <f t="shared" si="24"/>
        <v>0.23858560535900958</v>
      </c>
      <c r="D447" s="11">
        <f t="shared" si="25"/>
        <v>0.3276315813357526</v>
      </c>
      <c r="E447" s="11">
        <f t="shared" si="26"/>
        <v>0.56197179740733616</v>
      </c>
    </row>
    <row r="448" spans="1:5">
      <c r="A448" s="15">
        <f t="shared" si="27"/>
        <v>43525</v>
      </c>
      <c r="B448" s="11">
        <v>0.56413583568059766</v>
      </c>
      <c r="C448" s="11">
        <f t="shared" si="24"/>
        <v>0.23858560535900958</v>
      </c>
      <c r="D448" s="11">
        <f t="shared" si="25"/>
        <v>0.3276315813357526</v>
      </c>
      <c r="E448" s="11">
        <f t="shared" si="26"/>
        <v>0.99364728209143072</v>
      </c>
    </row>
    <row r="449" spans="1:5">
      <c r="A449" s="15">
        <f t="shared" si="27"/>
        <v>43556</v>
      </c>
      <c r="B449" s="11">
        <v>0.52950016128905508</v>
      </c>
      <c r="C449" s="11">
        <f t="shared" si="24"/>
        <v>0.23858560535900958</v>
      </c>
      <c r="D449" s="11">
        <f t="shared" si="25"/>
        <v>0.3276315813357526</v>
      </c>
      <c r="E449" s="11">
        <f t="shared" si="26"/>
        <v>0.88793197146620628</v>
      </c>
    </row>
    <row r="450" spans="1:5">
      <c r="A450" s="15">
        <f t="shared" si="27"/>
        <v>43586</v>
      </c>
      <c r="B450" s="11">
        <v>0.21287585893843142</v>
      </c>
      <c r="C450" s="11">
        <f t="shared" si="24"/>
        <v>0.23858560535900958</v>
      </c>
      <c r="D450" s="11">
        <f t="shared" si="25"/>
        <v>0.3276315813357526</v>
      </c>
      <c r="E450" s="11">
        <f t="shared" si="26"/>
        <v>-7.8471514607229356E-2</v>
      </c>
    </row>
    <row r="451" spans="1:5">
      <c r="A451" s="15">
        <f t="shared" si="27"/>
        <v>43617</v>
      </c>
      <c r="B451" s="11">
        <v>1.9914718148160711E-2</v>
      </c>
      <c r="C451" s="11">
        <f t="shared" ref="C451:C514" si="28">AVERAGE($B$2:$B$541)</f>
        <v>0.23858560535900958</v>
      </c>
      <c r="D451" s="11">
        <f t="shared" ref="D451:D514" si="29">_xlfn.STDEV.S($B$2:$B$541)</f>
        <v>0.3276315813357526</v>
      </c>
      <c r="E451" s="11">
        <f t="shared" ref="E451:E514" si="30">(B451-C451)/D451</f>
        <v>-0.66742920911143111</v>
      </c>
    </row>
    <row r="452" spans="1:5">
      <c r="A452" s="15">
        <f t="shared" ref="A452:A515" si="31">EDATE(A451,1)</f>
        <v>43647</v>
      </c>
      <c r="B452" s="11">
        <v>0.16709416224532941</v>
      </c>
      <c r="C452" s="11">
        <f t="shared" si="28"/>
        <v>0.23858560535900958</v>
      </c>
      <c r="D452" s="11">
        <f t="shared" si="29"/>
        <v>0.3276315813357526</v>
      </c>
      <c r="E452" s="11">
        <f t="shared" si="30"/>
        <v>-0.21820681273218487</v>
      </c>
    </row>
    <row r="453" spans="1:5">
      <c r="A453" s="15">
        <f t="shared" si="31"/>
        <v>43678</v>
      </c>
      <c r="B453" s="11">
        <v>-5.0668236082930841E-3</v>
      </c>
      <c r="C453" s="11">
        <f t="shared" si="28"/>
        <v>0.23858560535900958</v>
      </c>
      <c r="D453" s="11">
        <f t="shared" si="29"/>
        <v>0.3276315813357526</v>
      </c>
      <c r="E453" s="11">
        <f t="shared" si="30"/>
        <v>-0.74367809102508586</v>
      </c>
    </row>
    <row r="454" spans="1:5">
      <c r="A454" s="15">
        <f t="shared" si="31"/>
        <v>43709</v>
      </c>
      <c r="B454" s="11">
        <v>7.8344857693005809E-2</v>
      </c>
      <c r="C454" s="11">
        <f t="shared" si="28"/>
        <v>0.23858560535900958</v>
      </c>
      <c r="D454" s="11">
        <f t="shared" si="29"/>
        <v>0.3276315813357526</v>
      </c>
      <c r="E454" s="11">
        <f t="shared" si="30"/>
        <v>-0.48908822224250453</v>
      </c>
    </row>
    <row r="455" spans="1:5">
      <c r="A455" s="15">
        <f t="shared" si="31"/>
        <v>43739</v>
      </c>
      <c r="B455" s="11">
        <v>0.22861905522298695</v>
      </c>
      <c r="C455" s="11">
        <f t="shared" si="28"/>
        <v>0.23858560535900958</v>
      </c>
      <c r="D455" s="11">
        <f t="shared" si="29"/>
        <v>0.3276315813357526</v>
      </c>
      <c r="E455" s="11">
        <f t="shared" si="30"/>
        <v>-3.0419992161283858E-2</v>
      </c>
    </row>
    <row r="456" spans="1:5">
      <c r="A456" s="15">
        <f t="shared" si="31"/>
        <v>43770</v>
      </c>
      <c r="B456" s="11">
        <v>-5.362430346691878E-2</v>
      </c>
      <c r="C456" s="11">
        <f t="shared" si="28"/>
        <v>0.23858560535900958</v>
      </c>
      <c r="D456" s="11">
        <f t="shared" si="29"/>
        <v>0.3276315813357526</v>
      </c>
      <c r="E456" s="11">
        <f t="shared" si="30"/>
        <v>-0.89188565899108307</v>
      </c>
    </row>
    <row r="457" spans="1:5">
      <c r="A457" s="15">
        <f t="shared" si="31"/>
        <v>43800</v>
      </c>
      <c r="B457" s="11">
        <v>-9.0976952505379793E-2</v>
      </c>
      <c r="C457" s="11">
        <f t="shared" si="28"/>
        <v>0.23858560535900958</v>
      </c>
      <c r="D457" s="11">
        <f t="shared" si="29"/>
        <v>0.3276315813357526</v>
      </c>
      <c r="E457" s="11">
        <f t="shared" si="30"/>
        <v>-1.0058937435785775</v>
      </c>
    </row>
    <row r="458" spans="1:5">
      <c r="A458" s="15">
        <f t="shared" si="31"/>
        <v>43831</v>
      </c>
      <c r="B458" s="11">
        <v>0.38797699378147754</v>
      </c>
      <c r="C458" s="11">
        <f t="shared" si="28"/>
        <v>0.23858560535900958</v>
      </c>
      <c r="D458" s="11">
        <f t="shared" si="29"/>
        <v>0.3276315813357526</v>
      </c>
      <c r="E458" s="11">
        <f t="shared" si="30"/>
        <v>0.45597371234299178</v>
      </c>
    </row>
    <row r="459" spans="1:5">
      <c r="A459" s="15">
        <f t="shared" si="31"/>
        <v>43862</v>
      </c>
      <c r="B459" s="11">
        <v>0.27406181314953759</v>
      </c>
      <c r="C459" s="11">
        <f t="shared" si="28"/>
        <v>0.23858560535900958</v>
      </c>
      <c r="D459" s="11">
        <f t="shared" si="29"/>
        <v>0.3276315813357526</v>
      </c>
      <c r="E459" s="11">
        <f t="shared" si="30"/>
        <v>0.10828079407330533</v>
      </c>
    </row>
    <row r="460" spans="1:5">
      <c r="A460" s="15">
        <f t="shared" si="31"/>
        <v>43891</v>
      </c>
      <c r="B460" s="11">
        <v>-0.21764510317846442</v>
      </c>
      <c r="C460" s="11">
        <f t="shared" si="28"/>
        <v>0.23858560535900958</v>
      </c>
      <c r="D460" s="11">
        <f t="shared" si="29"/>
        <v>0.3276315813357526</v>
      </c>
      <c r="E460" s="11">
        <f t="shared" si="30"/>
        <v>-1.392511389400934</v>
      </c>
    </row>
    <row r="461" spans="1:5">
      <c r="A461" s="15">
        <f t="shared" si="31"/>
        <v>43922</v>
      </c>
      <c r="B461" s="11">
        <v>-0.66869418669972647</v>
      </c>
      <c r="C461" s="11">
        <f t="shared" si="28"/>
        <v>0.23858560535900958</v>
      </c>
      <c r="D461" s="11">
        <f t="shared" si="29"/>
        <v>0.3276315813357526</v>
      </c>
      <c r="E461" s="11">
        <f t="shared" si="30"/>
        <v>-2.7692073772612522</v>
      </c>
    </row>
    <row r="462" spans="1:5">
      <c r="A462" s="15">
        <f t="shared" si="31"/>
        <v>43952</v>
      </c>
      <c r="B462" s="11">
        <v>1.9501616684005367E-3</v>
      </c>
      <c r="C462" s="11">
        <f t="shared" si="28"/>
        <v>0.23858560535900958</v>
      </c>
      <c r="D462" s="11">
        <f t="shared" si="29"/>
        <v>0.3276315813357526</v>
      </c>
      <c r="E462" s="11">
        <f t="shared" si="30"/>
        <v>-0.72226078672223026</v>
      </c>
    </row>
    <row r="463" spans="1:5">
      <c r="A463" s="15">
        <f t="shared" si="31"/>
        <v>43983</v>
      </c>
      <c r="B463" s="11">
        <v>0.54720469277752992</v>
      </c>
      <c r="C463" s="11">
        <f t="shared" si="28"/>
        <v>0.23858560535900958</v>
      </c>
      <c r="D463" s="11">
        <f t="shared" si="29"/>
        <v>0.3276315813357526</v>
      </c>
      <c r="E463" s="11">
        <f t="shared" si="30"/>
        <v>0.94196989850698032</v>
      </c>
    </row>
    <row r="464" spans="1:5">
      <c r="A464" s="15">
        <f t="shared" si="31"/>
        <v>44013</v>
      </c>
      <c r="B464" s="11">
        <v>0.50582435016698157</v>
      </c>
      <c r="C464" s="11">
        <f t="shared" si="28"/>
        <v>0.23858560535900958</v>
      </c>
      <c r="D464" s="11">
        <f t="shared" si="29"/>
        <v>0.3276315813357526</v>
      </c>
      <c r="E464" s="11">
        <f t="shared" si="30"/>
        <v>0.81566845210233008</v>
      </c>
    </row>
    <row r="465" spans="1:5">
      <c r="A465" s="15">
        <f t="shared" si="31"/>
        <v>44044</v>
      </c>
      <c r="B465" s="11">
        <v>0.31532105240813707</v>
      </c>
      <c r="C465" s="11">
        <f t="shared" si="28"/>
        <v>0.23858560535900958</v>
      </c>
      <c r="D465" s="11">
        <f t="shared" si="29"/>
        <v>0.3276315813357526</v>
      </c>
      <c r="E465" s="11">
        <f t="shared" si="30"/>
        <v>0.23421260775984229</v>
      </c>
    </row>
    <row r="466" spans="1:5">
      <c r="A466" s="15">
        <f t="shared" si="31"/>
        <v>44075</v>
      </c>
      <c r="B466" s="11">
        <v>0.13927469432665932</v>
      </c>
      <c r="C466" s="11">
        <f t="shared" si="28"/>
        <v>0.23858560535900958</v>
      </c>
      <c r="D466" s="11">
        <f t="shared" si="29"/>
        <v>0.3276315813357526</v>
      </c>
      <c r="E466" s="11">
        <f t="shared" si="30"/>
        <v>-0.30311763788905849</v>
      </c>
    </row>
    <row r="467" spans="1:5">
      <c r="A467" s="15">
        <f t="shared" si="31"/>
        <v>44105</v>
      </c>
      <c r="B467" s="11">
        <v>4.1493775933611532E-2</v>
      </c>
      <c r="C467" s="11">
        <f t="shared" si="28"/>
        <v>0.23858560535900958</v>
      </c>
      <c r="D467" s="11">
        <f t="shared" si="29"/>
        <v>0.3276315813357526</v>
      </c>
      <c r="E467" s="11">
        <f t="shared" si="30"/>
        <v>-0.6015654187604732</v>
      </c>
    </row>
    <row r="468" spans="1:5">
      <c r="A468" s="15">
        <f t="shared" si="31"/>
        <v>44136</v>
      </c>
      <c r="B468" s="11">
        <v>-6.1062721784410898E-2</v>
      </c>
      <c r="C468" s="11">
        <f t="shared" si="28"/>
        <v>0.23858560535900958</v>
      </c>
      <c r="D468" s="11">
        <f t="shared" si="29"/>
        <v>0.3276315813357526</v>
      </c>
      <c r="E468" s="11">
        <f t="shared" si="30"/>
        <v>-0.91458926493519188</v>
      </c>
    </row>
    <row r="469" spans="1:5">
      <c r="A469" s="15">
        <f t="shared" si="31"/>
        <v>44166</v>
      </c>
      <c r="B469" s="11">
        <v>9.4147846704250707E-2</v>
      </c>
      <c r="C469" s="11">
        <f t="shared" si="28"/>
        <v>0.23858560535900958</v>
      </c>
      <c r="D469" s="11">
        <f t="shared" si="29"/>
        <v>0.3276315813357526</v>
      </c>
      <c r="E469" s="11">
        <f t="shared" si="30"/>
        <v>-0.44085419990919905</v>
      </c>
    </row>
    <row r="470" spans="1:5">
      <c r="A470" s="15">
        <f t="shared" si="31"/>
        <v>44197</v>
      </c>
      <c r="B470" s="11">
        <v>0.42537834870275115</v>
      </c>
      <c r="C470" s="11">
        <f t="shared" si="28"/>
        <v>0.23858560535900958</v>
      </c>
      <c r="D470" s="11">
        <f t="shared" si="29"/>
        <v>0.3276315813357526</v>
      </c>
      <c r="E470" s="11">
        <f t="shared" si="30"/>
        <v>0.57013045745525615</v>
      </c>
    </row>
    <row r="471" spans="1:5">
      <c r="A471" s="15">
        <f t="shared" si="31"/>
        <v>44228</v>
      </c>
      <c r="B471" s="11">
        <v>0.54743827939231915</v>
      </c>
      <c r="C471" s="11">
        <f t="shared" si="28"/>
        <v>0.23858560535900958</v>
      </c>
      <c r="D471" s="11">
        <f t="shared" si="29"/>
        <v>0.3276315813357526</v>
      </c>
      <c r="E471" s="11">
        <f t="shared" si="30"/>
        <v>0.94268285363126014</v>
      </c>
    </row>
    <row r="472" spans="1:5">
      <c r="A472" s="15">
        <f t="shared" si="31"/>
        <v>44256</v>
      </c>
      <c r="B472" s="11">
        <v>0.70832731337495325</v>
      </c>
      <c r="C472" s="11">
        <f t="shared" si="28"/>
        <v>0.23858560535900958</v>
      </c>
      <c r="D472" s="11">
        <f t="shared" si="29"/>
        <v>0.3276315813357526</v>
      </c>
      <c r="E472" s="11">
        <f t="shared" si="30"/>
        <v>1.4337497810827902</v>
      </c>
    </row>
    <row r="473" spans="1:5">
      <c r="A473" s="15">
        <f t="shared" si="31"/>
        <v>44287</v>
      </c>
      <c r="B473" s="11">
        <v>0.82189091540600512</v>
      </c>
      <c r="C473" s="11">
        <f t="shared" si="28"/>
        <v>0.23858560535900958</v>
      </c>
      <c r="D473" s="11">
        <f t="shared" si="29"/>
        <v>0.3276315813357526</v>
      </c>
      <c r="E473" s="11">
        <f t="shared" si="30"/>
        <v>1.780369608048352</v>
      </c>
    </row>
    <row r="474" spans="1:5">
      <c r="A474" s="15">
        <f t="shared" si="31"/>
        <v>44317</v>
      </c>
      <c r="B474" s="11">
        <v>0.80171051547627803</v>
      </c>
      <c r="C474" s="11">
        <f t="shared" si="28"/>
        <v>0.23858560535900958</v>
      </c>
      <c r="D474" s="11">
        <f t="shared" si="29"/>
        <v>0.3276315813357526</v>
      </c>
      <c r="E474" s="11">
        <f t="shared" si="30"/>
        <v>1.7187748135311329</v>
      </c>
    </row>
    <row r="475" spans="1:5">
      <c r="A475" s="15">
        <f t="shared" si="31"/>
        <v>44348</v>
      </c>
      <c r="B475" s="11">
        <v>0.92906629023571508</v>
      </c>
      <c r="C475" s="11">
        <f t="shared" si="28"/>
        <v>0.23858560535900958</v>
      </c>
      <c r="D475" s="11">
        <f t="shared" si="29"/>
        <v>0.3276315813357526</v>
      </c>
      <c r="E475" s="11">
        <f t="shared" si="30"/>
        <v>2.1074912316499486</v>
      </c>
    </row>
    <row r="476" spans="1:5">
      <c r="A476" s="15">
        <f t="shared" si="31"/>
        <v>44378</v>
      </c>
      <c r="B476" s="11">
        <v>0.48105235262939439</v>
      </c>
      <c r="C476" s="11">
        <f t="shared" si="28"/>
        <v>0.23858560535900958</v>
      </c>
      <c r="D476" s="11">
        <f t="shared" si="29"/>
        <v>0.3276315813357526</v>
      </c>
      <c r="E476" s="11">
        <f t="shared" si="30"/>
        <v>0.74005914290023234</v>
      </c>
    </row>
    <row r="477" spans="1:5">
      <c r="A477" s="15">
        <f t="shared" si="31"/>
        <v>44409</v>
      </c>
      <c r="B477" s="11">
        <v>0.20659113636114673</v>
      </c>
      <c r="C477" s="11">
        <f t="shared" si="28"/>
        <v>0.23858560535900958</v>
      </c>
      <c r="D477" s="11">
        <f t="shared" si="29"/>
        <v>0.3276315813357526</v>
      </c>
      <c r="E477" s="11">
        <f t="shared" si="30"/>
        <v>-9.7653800245451089E-2</v>
      </c>
    </row>
    <row r="478" spans="1:5">
      <c r="A478" s="15">
        <f t="shared" si="31"/>
        <v>44440</v>
      </c>
      <c r="B478" s="11">
        <v>0.27159708590582743</v>
      </c>
      <c r="C478" s="11">
        <f t="shared" si="28"/>
        <v>0.23858560535900958</v>
      </c>
      <c r="D478" s="11">
        <f t="shared" si="29"/>
        <v>0.3276315813357526</v>
      </c>
      <c r="E478" s="11">
        <f t="shared" si="30"/>
        <v>0.10075793185818711</v>
      </c>
    </row>
    <row r="479" spans="1:5">
      <c r="A479" s="15">
        <f t="shared" si="31"/>
        <v>44470</v>
      </c>
      <c r="B479" s="11">
        <v>0.83081185520031942</v>
      </c>
      <c r="C479" s="11">
        <f t="shared" si="28"/>
        <v>0.23858560535900958</v>
      </c>
      <c r="D479" s="11">
        <f t="shared" si="29"/>
        <v>0.3276315813357526</v>
      </c>
      <c r="E479" s="11">
        <f t="shared" si="30"/>
        <v>1.8075981791096141</v>
      </c>
    </row>
    <row r="480" spans="1:5">
      <c r="A480" s="15">
        <f t="shared" si="31"/>
        <v>44501</v>
      </c>
      <c r="B480" s="11">
        <v>0.49134275043475356</v>
      </c>
      <c r="C480" s="11">
        <f t="shared" si="28"/>
        <v>0.23858560535900958</v>
      </c>
      <c r="D480" s="11">
        <f t="shared" si="29"/>
        <v>0.3276315813357526</v>
      </c>
      <c r="E480" s="11">
        <f t="shared" si="30"/>
        <v>0.77146758577196417</v>
      </c>
    </row>
    <row r="481" spans="1:5">
      <c r="A481" s="15">
        <f t="shared" si="31"/>
        <v>44531</v>
      </c>
      <c r="B481" s="11">
        <v>0.30725171614835939</v>
      </c>
      <c r="C481" s="11">
        <f t="shared" si="28"/>
        <v>0.23858560535900958</v>
      </c>
      <c r="D481" s="11">
        <f t="shared" si="29"/>
        <v>0.3276315813357526</v>
      </c>
      <c r="E481" s="11">
        <f t="shared" si="30"/>
        <v>0.20958330851195225</v>
      </c>
    </row>
    <row r="482" spans="1:5">
      <c r="A482" s="15">
        <f t="shared" si="31"/>
        <v>44562</v>
      </c>
      <c r="B482" s="11">
        <v>0.84145737835453238</v>
      </c>
      <c r="C482" s="11">
        <f t="shared" si="28"/>
        <v>0.23858560535900958</v>
      </c>
      <c r="D482" s="11">
        <f t="shared" si="29"/>
        <v>0.3276315813357526</v>
      </c>
      <c r="E482" s="11">
        <f t="shared" si="30"/>
        <v>1.8400905387008699</v>
      </c>
    </row>
    <row r="483" spans="1:5">
      <c r="A483" s="15">
        <f t="shared" si="31"/>
        <v>44593</v>
      </c>
      <c r="B483" s="11">
        <v>0.91339792564769562</v>
      </c>
      <c r="C483" s="11">
        <f t="shared" si="28"/>
        <v>0.23858560535900958</v>
      </c>
      <c r="D483" s="11">
        <f t="shared" si="29"/>
        <v>0.3276315813357526</v>
      </c>
      <c r="E483" s="11">
        <f t="shared" si="30"/>
        <v>2.0596681111676687</v>
      </c>
    </row>
    <row r="484" spans="1:5">
      <c r="A484" s="15">
        <f t="shared" si="31"/>
        <v>44621</v>
      </c>
      <c r="B484" s="11">
        <v>1.3351379548562685</v>
      </c>
      <c r="C484" s="11">
        <f t="shared" si="28"/>
        <v>0.23858560535900958</v>
      </c>
      <c r="D484" s="11">
        <f t="shared" si="29"/>
        <v>0.3276315813357526</v>
      </c>
      <c r="E484" s="11">
        <f t="shared" si="30"/>
        <v>3.3469067451514274</v>
      </c>
    </row>
    <row r="485" spans="1:5">
      <c r="A485" s="15">
        <f t="shared" si="31"/>
        <v>44652</v>
      </c>
      <c r="B485" s="11">
        <v>0.55825310256551597</v>
      </c>
      <c r="C485" s="11">
        <f t="shared" si="28"/>
        <v>0.23858560535900958</v>
      </c>
      <c r="D485" s="11">
        <f t="shared" si="29"/>
        <v>0.3276315813357526</v>
      </c>
      <c r="E485" s="11">
        <f t="shared" si="30"/>
        <v>0.9756919522325147</v>
      </c>
    </row>
    <row r="486" spans="1:5">
      <c r="A486" s="15">
        <f t="shared" si="31"/>
        <v>44682</v>
      </c>
      <c r="B486" s="11">
        <v>1.1023523999598808</v>
      </c>
      <c r="C486" s="11">
        <f t="shared" si="28"/>
        <v>0.23858560535900958</v>
      </c>
      <c r="D486" s="11">
        <f t="shared" si="29"/>
        <v>0.3276315813357526</v>
      </c>
      <c r="E486" s="11">
        <f t="shared" si="30"/>
        <v>2.6363966229363407</v>
      </c>
    </row>
    <row r="487" spans="1:5">
      <c r="A487" s="15">
        <f t="shared" si="31"/>
        <v>44713</v>
      </c>
      <c r="B487" s="11">
        <v>1.3736075758819779</v>
      </c>
      <c r="C487" s="11">
        <f t="shared" si="28"/>
        <v>0.23858560535900958</v>
      </c>
      <c r="D487" s="11">
        <f t="shared" si="29"/>
        <v>0.3276315813357526</v>
      </c>
      <c r="E487" s="11">
        <f t="shared" si="30"/>
        <v>3.4643240614823774</v>
      </c>
    </row>
    <row r="488" spans="1:5">
      <c r="A488" s="15">
        <f t="shared" si="31"/>
        <v>44743</v>
      </c>
      <c r="B488" s="11">
        <v>-1.1811913833765257E-2</v>
      </c>
      <c r="C488" s="11">
        <f t="shared" si="28"/>
        <v>0.23858560535900958</v>
      </c>
      <c r="D488" s="11">
        <f t="shared" si="29"/>
        <v>0.3276315813357526</v>
      </c>
      <c r="E488" s="11">
        <f t="shared" si="30"/>
        <v>-0.76426551485636751</v>
      </c>
    </row>
    <row r="489" spans="1:5">
      <c r="A489" s="15">
        <f t="shared" si="31"/>
        <v>44774</v>
      </c>
      <c r="B489" s="11">
        <v>-3.5439927635049141E-2</v>
      </c>
      <c r="C489" s="11">
        <f t="shared" si="28"/>
        <v>0.23858560535900958</v>
      </c>
      <c r="D489" s="11">
        <f t="shared" si="29"/>
        <v>0.3276315813357526</v>
      </c>
      <c r="E489" s="11">
        <f t="shared" si="30"/>
        <v>-0.83638314681648751</v>
      </c>
    </row>
    <row r="490" spans="1:5">
      <c r="A490" s="15">
        <f t="shared" si="31"/>
        <v>44805</v>
      </c>
      <c r="B490" s="11">
        <v>0.2150784513000937</v>
      </c>
      <c r="C490" s="11">
        <f t="shared" si="28"/>
        <v>0.23858560535900958</v>
      </c>
      <c r="D490" s="11">
        <f t="shared" si="29"/>
        <v>0.3276315813357526</v>
      </c>
      <c r="E490" s="11">
        <f t="shared" si="30"/>
        <v>-7.1748742789316297E-2</v>
      </c>
    </row>
    <row r="491" spans="1:5">
      <c r="A491" s="15">
        <f t="shared" si="31"/>
        <v>44835</v>
      </c>
      <c r="B491" s="11">
        <v>0.40564944341123144</v>
      </c>
      <c r="C491" s="11">
        <f t="shared" si="28"/>
        <v>0.23858560535900958</v>
      </c>
      <c r="D491" s="11">
        <f t="shared" si="29"/>
        <v>0.3276315813357526</v>
      </c>
      <c r="E491" s="11">
        <f t="shared" si="30"/>
        <v>0.50991371885183745</v>
      </c>
    </row>
    <row r="492" spans="1:5">
      <c r="A492" s="15">
        <f t="shared" si="31"/>
        <v>44866</v>
      </c>
      <c r="B492" s="11">
        <v>-0.10100264418882049</v>
      </c>
      <c r="C492" s="11">
        <f t="shared" si="28"/>
        <v>0.23858560535900958</v>
      </c>
      <c r="D492" s="11">
        <f t="shared" si="29"/>
        <v>0.3276315813357526</v>
      </c>
      <c r="E492" s="11">
        <f t="shared" si="30"/>
        <v>-1.0364942480921107</v>
      </c>
    </row>
    <row r="493" spans="1:5">
      <c r="A493" s="15">
        <f t="shared" si="31"/>
        <v>44896</v>
      </c>
      <c r="B493" s="11">
        <v>-0.30700914645410721</v>
      </c>
      <c r="C493" s="11">
        <f t="shared" si="28"/>
        <v>0.23858560535900958</v>
      </c>
      <c r="D493" s="11">
        <f t="shared" si="29"/>
        <v>0.3276315813357526</v>
      </c>
      <c r="E493" s="11">
        <f t="shared" si="30"/>
        <v>-1.665269109860317</v>
      </c>
    </row>
    <row r="494" spans="1:5">
      <c r="A494" s="15">
        <f t="shared" si="31"/>
        <v>44927</v>
      </c>
      <c r="B494" s="11">
        <v>0.79953638345400746</v>
      </c>
      <c r="C494" s="11">
        <f t="shared" si="28"/>
        <v>0.23858560535900958</v>
      </c>
      <c r="D494" s="11">
        <f t="shared" si="29"/>
        <v>0.3276315813357526</v>
      </c>
      <c r="E494" s="11">
        <f t="shared" si="30"/>
        <v>1.712138908611935</v>
      </c>
    </row>
    <row r="495" spans="1:5">
      <c r="A495" s="15">
        <f t="shared" si="31"/>
        <v>44958</v>
      </c>
      <c r="B495" s="11">
        <v>0.55821105057323894</v>
      </c>
      <c r="C495" s="11">
        <f t="shared" si="28"/>
        <v>0.23858560535900958</v>
      </c>
      <c r="D495" s="11">
        <f t="shared" si="29"/>
        <v>0.3276315813357526</v>
      </c>
      <c r="E495" s="11">
        <f t="shared" si="30"/>
        <v>0.97556360077107873</v>
      </c>
    </row>
    <row r="496" spans="1:5">
      <c r="A496" s="15">
        <f t="shared" si="31"/>
        <v>44986</v>
      </c>
      <c r="B496" s="11">
        <v>0.33107299561229819</v>
      </c>
      <c r="C496" s="11">
        <f t="shared" si="28"/>
        <v>0.23858560535900958</v>
      </c>
      <c r="D496" s="11">
        <f t="shared" si="29"/>
        <v>0.3276315813357526</v>
      </c>
      <c r="E496" s="11">
        <f t="shared" si="30"/>
        <v>0.28229082763089536</v>
      </c>
    </row>
    <row r="497" spans="1:5">
      <c r="A497" s="15">
        <f t="shared" si="31"/>
        <v>45017</v>
      </c>
      <c r="B497" s="11">
        <v>0.50590386832584144</v>
      </c>
      <c r="C497" s="11">
        <f t="shared" si="28"/>
        <v>0.23858560535900958</v>
      </c>
      <c r="D497" s="11">
        <f t="shared" si="29"/>
        <v>0.3276315813357526</v>
      </c>
      <c r="E497" s="11">
        <f t="shared" si="30"/>
        <v>0.81591115812760306</v>
      </c>
    </row>
    <row r="498" spans="1:5">
      <c r="A498" s="15">
        <f t="shared" si="31"/>
        <v>45047</v>
      </c>
      <c r="B498" s="11">
        <v>0.25184350102023317</v>
      </c>
      <c r="C498" s="11">
        <f t="shared" si="28"/>
        <v>0.23858560535900958</v>
      </c>
      <c r="D498" s="11">
        <f t="shared" si="29"/>
        <v>0.3276315813357526</v>
      </c>
      <c r="E498" s="11">
        <f t="shared" si="30"/>
        <v>4.0465865980230629E-2</v>
      </c>
    </row>
    <row r="499" spans="1:5">
      <c r="A499" s="15">
        <f t="shared" si="31"/>
        <v>45078</v>
      </c>
      <c r="B499" s="11">
        <v>0.32289142364866352</v>
      </c>
      <c r="C499" s="11">
        <f t="shared" si="28"/>
        <v>0.23858560535900958</v>
      </c>
      <c r="D499" s="11">
        <f t="shared" si="29"/>
        <v>0.3276315813357526</v>
      </c>
      <c r="E499" s="11">
        <f t="shared" si="30"/>
        <v>0.2573189615785495</v>
      </c>
    </row>
    <row r="500" spans="1:5">
      <c r="A500" s="15">
        <f t="shared" si="31"/>
        <v>45108</v>
      </c>
      <c r="B500" s="11">
        <v>0.19075150192226176</v>
      </c>
      <c r="C500" s="11">
        <f t="shared" si="28"/>
        <v>0.23858560535900958</v>
      </c>
      <c r="D500" s="11">
        <f t="shared" si="29"/>
        <v>0.3276315813357526</v>
      </c>
      <c r="E500" s="11">
        <f t="shared" si="30"/>
        <v>-0.14599967207595915</v>
      </c>
    </row>
    <row r="501" spans="1:5">
      <c r="A501" s="15">
        <f t="shared" si="31"/>
        <v>45139</v>
      </c>
      <c r="B501" s="11">
        <v>0.43671550683534566</v>
      </c>
      <c r="C501" s="11">
        <f t="shared" si="28"/>
        <v>0.23858560535900958</v>
      </c>
      <c r="D501" s="11">
        <f t="shared" si="29"/>
        <v>0.3276315813357526</v>
      </c>
      <c r="E501" s="11">
        <f t="shared" si="30"/>
        <v>0.60473383142296999</v>
      </c>
    </row>
    <row r="502" spans="1:5">
      <c r="A502" s="15">
        <f t="shared" si="31"/>
        <v>45170</v>
      </c>
      <c r="B502" s="11">
        <v>0.2485131552376596</v>
      </c>
      <c r="C502" s="11">
        <f t="shared" si="28"/>
        <v>0.23858560535900958</v>
      </c>
      <c r="D502" s="11">
        <f t="shared" si="29"/>
        <v>0.3276315813357526</v>
      </c>
      <c r="E502" s="11">
        <f t="shared" si="30"/>
        <v>3.030095523201836E-2</v>
      </c>
    </row>
    <row r="503" spans="1:5">
      <c r="A503" s="15">
        <f t="shared" si="31"/>
        <v>45200</v>
      </c>
      <c r="B503" s="11">
        <v>-3.8337952298488576E-2</v>
      </c>
      <c r="C503" s="11">
        <f t="shared" si="28"/>
        <v>0.23858560535900958</v>
      </c>
      <c r="D503" s="11">
        <f t="shared" si="29"/>
        <v>0.3276315813357526</v>
      </c>
      <c r="E503" s="11">
        <f t="shared" si="30"/>
        <v>-0.84522852323479303</v>
      </c>
    </row>
    <row r="504" spans="1:5">
      <c r="A504" s="15">
        <f t="shared" si="31"/>
        <v>45231</v>
      </c>
      <c r="B504" s="11">
        <v>-0.20151395484137424</v>
      </c>
      <c r="C504" s="11">
        <f t="shared" si="28"/>
        <v>0.23858560535900958</v>
      </c>
      <c r="D504" s="11">
        <f t="shared" si="29"/>
        <v>0.3276315813357526</v>
      </c>
      <c r="E504" s="11">
        <f t="shared" si="30"/>
        <v>-1.3432757562811855</v>
      </c>
    </row>
    <row r="505" spans="1:5">
      <c r="A505" s="15">
        <f t="shared" si="31"/>
        <v>45261</v>
      </c>
      <c r="B505" s="11">
        <v>-9.9332032789343425E-2</v>
      </c>
      <c r="C505" s="11">
        <f t="shared" si="28"/>
        <v>0.23858560535900958</v>
      </c>
      <c r="D505" s="11">
        <f t="shared" si="29"/>
        <v>0.3276315813357526</v>
      </c>
      <c r="E505" s="11">
        <f t="shared" si="30"/>
        <v>-1.031395193255376</v>
      </c>
    </row>
    <row r="506" spans="1:5">
      <c r="A506" s="15">
        <f t="shared" si="31"/>
        <v>45292</v>
      </c>
      <c r="B506" s="11">
        <v>0.54475037979305097</v>
      </c>
      <c r="C506" s="11">
        <f t="shared" si="28"/>
        <v>0.23858560535900958</v>
      </c>
      <c r="D506" s="11">
        <f t="shared" si="29"/>
        <v>0.3276315813357526</v>
      </c>
      <c r="E506" s="11">
        <f t="shared" si="30"/>
        <v>0.93447882278566941</v>
      </c>
    </row>
    <row r="507" spans="1:5">
      <c r="A507" s="15">
        <f t="shared" si="31"/>
        <v>45323</v>
      </c>
      <c r="B507" s="11">
        <v>0.61896717755507924</v>
      </c>
      <c r="C507" s="11">
        <f t="shared" si="28"/>
        <v>0.23858560535900958</v>
      </c>
      <c r="D507" s="11">
        <f t="shared" si="29"/>
        <v>0.3276315813357526</v>
      </c>
      <c r="E507" s="11">
        <f t="shared" si="30"/>
        <v>1.1610039869943416</v>
      </c>
    </row>
    <row r="508" spans="1:5">
      <c r="A508" s="15">
        <f t="shared" si="31"/>
        <v>45352</v>
      </c>
      <c r="B508" s="11">
        <v>0.64641699374205563</v>
      </c>
      <c r="C508" s="11">
        <f t="shared" si="28"/>
        <v>0.23858560535900958</v>
      </c>
      <c r="D508" s="11">
        <f t="shared" si="29"/>
        <v>0.3276315813357526</v>
      </c>
      <c r="E508" s="11">
        <f t="shared" si="30"/>
        <v>1.2447865578779651</v>
      </c>
    </row>
    <row r="509" spans="1:5">
      <c r="A509" s="15">
        <f t="shared" si="31"/>
        <v>45383</v>
      </c>
      <c r="B509" s="11">
        <v>0.38932930343352851</v>
      </c>
      <c r="C509" s="11">
        <f t="shared" si="28"/>
        <v>0.23858560535900958</v>
      </c>
      <c r="D509" s="11">
        <f t="shared" si="29"/>
        <v>0.3276315813357526</v>
      </c>
      <c r="E509" s="11">
        <f t="shared" si="30"/>
        <v>0.46010124378101003</v>
      </c>
    </row>
    <row r="510" spans="1:5">
      <c r="A510" s="15">
        <f t="shared" si="31"/>
        <v>45413</v>
      </c>
      <c r="B510" s="11">
        <v>0.16616275657953966</v>
      </c>
      <c r="C510" s="11">
        <f t="shared" si="28"/>
        <v>0.23858560535900958</v>
      </c>
      <c r="D510" s="11">
        <f t="shared" si="29"/>
        <v>0.3276315813357526</v>
      </c>
      <c r="E510" s="11">
        <f t="shared" si="30"/>
        <v>-0.22104965731387147</v>
      </c>
    </row>
    <row r="511" spans="1:5">
      <c r="A511" s="15">
        <f t="shared" si="31"/>
        <v>45444</v>
      </c>
      <c r="B511" s="11">
        <v>3.3750545262345069E-2</v>
      </c>
      <c r="C511" s="11">
        <f t="shared" si="28"/>
        <v>0.23858560535900958</v>
      </c>
      <c r="D511" s="11">
        <f t="shared" si="29"/>
        <v>0.3276315813357526</v>
      </c>
      <c r="E511" s="11">
        <f t="shared" si="30"/>
        <v>-0.62519937565711103</v>
      </c>
    </row>
    <row r="512" spans="1:5">
      <c r="A512" s="15">
        <f t="shared" si="31"/>
        <v>45474</v>
      </c>
      <c r="B512" s="11">
        <v>0.11617728972706583</v>
      </c>
      <c r="C512" s="11">
        <f t="shared" si="28"/>
        <v>0.23858560535900958</v>
      </c>
      <c r="D512" s="11">
        <f t="shared" si="29"/>
        <v>0.3276315813357526</v>
      </c>
      <c r="E512" s="11">
        <f t="shared" si="30"/>
        <v>-0.37361573976747159</v>
      </c>
    </row>
    <row r="513" spans="1:5">
      <c r="A513" s="15">
        <f t="shared" si="31"/>
        <v>45505</v>
      </c>
      <c r="B513" s="11">
        <v>8.138869460163152E-2</v>
      </c>
      <c r="C513" s="11">
        <f t="shared" si="28"/>
        <v>0.23858560535900958</v>
      </c>
      <c r="D513" s="11">
        <f t="shared" si="29"/>
        <v>0.3276315813357526</v>
      </c>
      <c r="E513" s="11">
        <f t="shared" si="30"/>
        <v>-0.4797977964043848</v>
      </c>
    </row>
    <row r="514" spans="1:5">
      <c r="A514" s="15">
        <f t="shared" si="31"/>
        <v>45536</v>
      </c>
      <c r="B514" s="11">
        <v>0.16042135224081483</v>
      </c>
      <c r="C514" s="11">
        <f t="shared" si="28"/>
        <v>0.23858560535900958</v>
      </c>
      <c r="D514" s="11">
        <f t="shared" si="29"/>
        <v>0.3276315813357526</v>
      </c>
      <c r="E514" s="11">
        <f t="shared" si="30"/>
        <v>-0.23857362223604761</v>
      </c>
    </row>
    <row r="515" spans="1:5">
      <c r="A515" s="15">
        <f t="shared" si="31"/>
        <v>45566</v>
      </c>
      <c r="B515" s="11">
        <v>0.11512808395786869</v>
      </c>
      <c r="C515" s="11">
        <f t="shared" ref="C515:C541" si="32">AVERAGE($B$2:$B$541)</f>
        <v>0.23858560535900958</v>
      </c>
      <c r="D515" s="11">
        <f t="shared" ref="D515:D541" si="33">_xlfn.STDEV.S($B$2:$B$541)</f>
        <v>0.3276315813357526</v>
      </c>
      <c r="E515" s="11">
        <f t="shared" ref="E515:E541" si="34">(B515-C515)/D515</f>
        <v>-0.37681813486296128</v>
      </c>
    </row>
    <row r="516" spans="1:5">
      <c r="A516" s="15">
        <f t="shared" ref="A516:A541" si="35">EDATE(A515,1)</f>
        <v>45597</v>
      </c>
      <c r="B516" s="11">
        <v>-5.4171524152260717E-2</v>
      </c>
      <c r="C516" s="11">
        <f t="shared" si="32"/>
        <v>0.23858560535900958</v>
      </c>
      <c r="D516" s="11">
        <f t="shared" si="33"/>
        <v>0.3276315813357526</v>
      </c>
      <c r="E516" s="11">
        <f t="shared" si="34"/>
        <v>-0.89355589078958964</v>
      </c>
    </row>
    <row r="517" spans="1:5">
      <c r="A517" s="15">
        <f t="shared" si="35"/>
        <v>45627</v>
      </c>
      <c r="B517" s="11">
        <v>3.5499995245543703E-2</v>
      </c>
      <c r="C517" s="11">
        <f t="shared" si="32"/>
        <v>0.23858560535900958</v>
      </c>
      <c r="D517" s="11">
        <f t="shared" si="33"/>
        <v>0.3276315813357526</v>
      </c>
      <c r="E517" s="11">
        <f t="shared" si="34"/>
        <v>-0.61985968900032984</v>
      </c>
    </row>
    <row r="518" spans="1:5">
      <c r="A518" s="15">
        <f t="shared" si="35"/>
        <v>45658</v>
      </c>
      <c r="B518" s="11">
        <v>0.65461573802695583</v>
      </c>
      <c r="C518" s="11">
        <f t="shared" si="32"/>
        <v>0.23858560535900958</v>
      </c>
      <c r="D518" s="11">
        <f t="shared" si="33"/>
        <v>0.3276315813357526</v>
      </c>
      <c r="E518" s="11">
        <f t="shared" si="34"/>
        <v>1.269810837440619</v>
      </c>
    </row>
    <row r="519" spans="1:5">
      <c r="A519" s="15">
        <f t="shared" si="35"/>
        <v>45689</v>
      </c>
      <c r="B519" s="11">
        <v>0.44417022642923065</v>
      </c>
      <c r="C519" s="11">
        <f t="shared" si="32"/>
        <v>0.23858560535900958</v>
      </c>
      <c r="D519" s="11">
        <f t="shared" si="33"/>
        <v>0.3276315813357526</v>
      </c>
      <c r="E519" s="11">
        <f t="shared" si="34"/>
        <v>0.62748719226654959</v>
      </c>
    </row>
    <row r="520" spans="1:5">
      <c r="A520" s="15">
        <f t="shared" si="35"/>
        <v>45717</v>
      </c>
      <c r="B520" s="11">
        <v>0.22470712857509495</v>
      </c>
      <c r="C520" s="11">
        <f t="shared" si="32"/>
        <v>0.23858560535900958</v>
      </c>
      <c r="D520" s="11">
        <f t="shared" si="33"/>
        <v>0.3276315813357526</v>
      </c>
      <c r="E520" s="11">
        <f t="shared" si="34"/>
        <v>-4.2360009152146251E-2</v>
      </c>
    </row>
    <row r="521" spans="1:5">
      <c r="A521" s="15">
        <f t="shared" si="35"/>
        <v>45748</v>
      </c>
      <c r="B521" s="11">
        <v>0.31144562678433574</v>
      </c>
      <c r="C521" s="11">
        <f t="shared" si="32"/>
        <v>0.23858560535900958</v>
      </c>
      <c r="D521" s="11">
        <f t="shared" si="33"/>
        <v>0.3276315813357526</v>
      </c>
      <c r="E521" s="11">
        <f t="shared" si="34"/>
        <v>0.22238399951639629</v>
      </c>
    </row>
    <row r="522" spans="1:5">
      <c r="A522" s="15">
        <f t="shared" si="35"/>
        <v>45778</v>
      </c>
      <c r="B522" s="11">
        <v>0.20885612306923707</v>
      </c>
      <c r="C522" s="11">
        <f t="shared" si="32"/>
        <v>0.23858560535900958</v>
      </c>
      <c r="D522" s="11">
        <f t="shared" si="33"/>
        <v>0.3276315813357526</v>
      </c>
      <c r="E522" s="11">
        <f t="shared" si="34"/>
        <v>-9.0740587853483282E-2</v>
      </c>
    </row>
    <row r="523" spans="1:5">
      <c r="A523" s="15">
        <f t="shared" si="35"/>
        <v>45809</v>
      </c>
      <c r="B523" s="11">
        <v>0.3409391380088046</v>
      </c>
      <c r="C523" s="11">
        <f t="shared" si="32"/>
        <v>0.23858560535900958</v>
      </c>
      <c r="D523" s="11">
        <f t="shared" si="33"/>
        <v>0.3276315813357526</v>
      </c>
      <c r="E523" s="11">
        <f t="shared" si="34"/>
        <v>0.31240435440472525</v>
      </c>
    </row>
    <row r="524" spans="1:5">
      <c r="A524" s="15">
        <f t="shared" si="35"/>
        <v>45839</v>
      </c>
      <c r="B524" s="11">
        <v>0.15097919463296036</v>
      </c>
      <c r="C524" s="11">
        <f t="shared" si="32"/>
        <v>0.23858560535900958</v>
      </c>
      <c r="D524" s="11">
        <f t="shared" si="33"/>
        <v>0.3276315813357526</v>
      </c>
      <c r="E524" s="11">
        <f t="shared" si="34"/>
        <v>-0.26739305890133741</v>
      </c>
    </row>
    <row r="525" spans="1:5">
      <c r="A525" s="15">
        <f t="shared" si="35"/>
        <v>45870</v>
      </c>
      <c r="B525" s="11">
        <v>0.28726381218889985</v>
      </c>
      <c r="C525" s="11">
        <f t="shared" si="32"/>
        <v>0.23858560535900958</v>
      </c>
      <c r="D525" s="11">
        <f t="shared" si="33"/>
        <v>0.3276315813357526</v>
      </c>
      <c r="E525" s="11">
        <f t="shared" si="34"/>
        <v>0.14857605189166875</v>
      </c>
    </row>
    <row r="526" spans="1:5">
      <c r="A526" s="15">
        <f t="shared" si="35"/>
        <v>45901</v>
      </c>
      <c r="B526" s="11">
        <v>0.25433982764155749</v>
      </c>
      <c r="C526" s="11">
        <f t="shared" si="32"/>
        <v>0.23858560535900958</v>
      </c>
      <c r="D526" s="11">
        <f t="shared" si="33"/>
        <v>0.3276315813357526</v>
      </c>
      <c r="E526" s="11">
        <f t="shared" si="34"/>
        <v>4.8085176094190968E-2</v>
      </c>
    </row>
    <row r="527" spans="1:5">
      <c r="A527" s="15">
        <f t="shared" si="35"/>
        <v>45931</v>
      </c>
      <c r="C527" s="11">
        <f t="shared" si="32"/>
        <v>0.23858560535900958</v>
      </c>
      <c r="D527" s="11">
        <f t="shared" si="33"/>
        <v>0.3276315813357526</v>
      </c>
      <c r="E527" s="11">
        <f t="shared" si="34"/>
        <v>-0.72821308735347512</v>
      </c>
    </row>
    <row r="528" spans="1:5">
      <c r="A528" s="15">
        <f t="shared" si="35"/>
        <v>45962</v>
      </c>
      <c r="B528">
        <v>0</v>
      </c>
      <c r="C528" s="11">
        <f t="shared" si="32"/>
        <v>0.23858560535900958</v>
      </c>
      <c r="D528" s="11">
        <f t="shared" si="33"/>
        <v>0.3276315813357526</v>
      </c>
      <c r="E528" s="11">
        <f t="shared" si="34"/>
        <v>-0.72821308735347512</v>
      </c>
    </row>
    <row r="529" spans="1:5">
      <c r="A529" s="15">
        <f t="shared" si="35"/>
        <v>45992</v>
      </c>
      <c r="B529" s="11">
        <v>-2.0979754536884405E-2</v>
      </c>
      <c r="C529" s="11">
        <f t="shared" si="32"/>
        <v>0.23858560535900958</v>
      </c>
      <c r="D529" s="11">
        <f t="shared" si="33"/>
        <v>0.3276315813357526</v>
      </c>
      <c r="E529" s="11">
        <f t="shared" si="34"/>
        <v>-0.79224767904744431</v>
      </c>
    </row>
    <row r="530" spans="1:5">
      <c r="A530" s="15">
        <f t="shared" si="35"/>
        <v>46023</v>
      </c>
      <c r="B530" s="11">
        <v>0.36969147117456846</v>
      </c>
      <c r="C530" s="11">
        <f t="shared" si="32"/>
        <v>0.23858560535900958</v>
      </c>
      <c r="D530" s="11">
        <f t="shared" si="33"/>
        <v>0.3276315813357526</v>
      </c>
      <c r="E530" s="11">
        <f t="shared" si="34"/>
        <v>0.40016247909020497</v>
      </c>
    </row>
    <row r="531" spans="1:5">
      <c r="A531" s="15">
        <f t="shared" si="35"/>
        <v>46054</v>
      </c>
      <c r="B531" s="11">
        <v>0.47132684810547376</v>
      </c>
      <c r="C531" s="11">
        <f t="shared" si="32"/>
        <v>0.23858560535900958</v>
      </c>
      <c r="D531" s="11">
        <f t="shared" si="33"/>
        <v>0.3276315813357526</v>
      </c>
      <c r="E531" s="11">
        <f t="shared" si="34"/>
        <v>0.71037487228056317</v>
      </c>
    </row>
    <row r="532" spans="1:5">
      <c r="A532" s="15">
        <f t="shared" si="35"/>
        <v>46082</v>
      </c>
      <c r="B532" s="11">
        <v>1.0490077573940044</v>
      </c>
      <c r="C532" s="11">
        <f t="shared" si="32"/>
        <v>0.23858560535900958</v>
      </c>
      <c r="D532" s="11">
        <f t="shared" si="33"/>
        <v>0.3276315813357526</v>
      </c>
      <c r="E532" s="11">
        <f t="shared" si="34"/>
        <v>2.4735776347655714</v>
      </c>
    </row>
    <row r="533" spans="1:5">
      <c r="A533" s="15">
        <f t="shared" si="35"/>
        <v>46113</v>
      </c>
      <c r="B533" s="11">
        <v>0.85005738720158175</v>
      </c>
      <c r="C533" s="11">
        <f t="shared" si="32"/>
        <v>0.23858560535900958</v>
      </c>
      <c r="D533" s="11">
        <f t="shared" si="33"/>
        <v>0.3276315813357526</v>
      </c>
      <c r="E533" s="11">
        <f t="shared" si="34"/>
        <v>1.8663395614964962</v>
      </c>
    </row>
    <row r="534" spans="1:5">
      <c r="A534" s="15">
        <f t="shared" si="35"/>
        <v>46143</v>
      </c>
      <c r="B534" s="11">
        <v>0.63149360398775112</v>
      </c>
      <c r="C534" s="11">
        <f t="shared" si="32"/>
        <v>0.23858560535900958</v>
      </c>
      <c r="D534" s="11">
        <f t="shared" si="33"/>
        <v>0.3276315813357526</v>
      </c>
      <c r="E534" s="11">
        <f t="shared" si="34"/>
        <v>1.1992372561486815</v>
      </c>
    </row>
    <row r="535" spans="1:5">
      <c r="A535" s="15">
        <f t="shared" si="35"/>
        <v>46174</v>
      </c>
      <c r="B535" s="11">
        <v>-0.34942394285083156</v>
      </c>
      <c r="C535" s="11">
        <f t="shared" si="32"/>
        <v>0.23858560535900958</v>
      </c>
      <c r="D535" s="11">
        <f t="shared" si="33"/>
        <v>0.3276315813357526</v>
      </c>
      <c r="E535" s="11">
        <f t="shared" si="34"/>
        <v>-1.7947279252278689</v>
      </c>
    </row>
    <row r="536" spans="1:5">
      <c r="A536" s="15">
        <f t="shared" si="35"/>
        <v>46204</v>
      </c>
      <c r="B536" s="11">
        <v>-1.0181103871212575E-2</v>
      </c>
      <c r="C536" s="11">
        <f t="shared" si="32"/>
        <v>0.23858560535900958</v>
      </c>
      <c r="D536" s="11">
        <f t="shared" si="33"/>
        <v>0.3276315813357526</v>
      </c>
      <c r="E536" s="11">
        <f t="shared" si="34"/>
        <v>-0.75928794231618735</v>
      </c>
    </row>
    <row r="537" spans="1:5">
      <c r="A537" s="15">
        <f t="shared" si="35"/>
        <v>46235</v>
      </c>
      <c r="B537" s="11">
        <v>0.31804215406177921</v>
      </c>
      <c r="C537" s="11">
        <f t="shared" si="32"/>
        <v>0.23858560535900958</v>
      </c>
      <c r="D537" s="11">
        <f t="shared" si="33"/>
        <v>0.3276315813357526</v>
      </c>
      <c r="E537" s="11">
        <f t="shared" si="34"/>
        <v>0.24251797820840598</v>
      </c>
    </row>
    <row r="538" spans="1:5">
      <c r="A538" s="15">
        <f t="shared" si="35"/>
        <v>46266</v>
      </c>
      <c r="C538" s="11">
        <f t="shared" si="32"/>
        <v>0.23858560535900958</v>
      </c>
      <c r="D538" s="11">
        <f t="shared" si="33"/>
        <v>0.3276315813357526</v>
      </c>
      <c r="E538" s="11">
        <f t="shared" si="34"/>
        <v>-0.72821308735347512</v>
      </c>
    </row>
    <row r="539" spans="1:5">
      <c r="A539" s="15">
        <f t="shared" si="35"/>
        <v>46296</v>
      </c>
      <c r="C539" s="11">
        <f t="shared" si="32"/>
        <v>0.23858560535900958</v>
      </c>
      <c r="D539" s="11">
        <f t="shared" si="33"/>
        <v>0.3276315813357526</v>
      </c>
      <c r="E539" s="11">
        <f t="shared" si="34"/>
        <v>-0.72821308735347512</v>
      </c>
    </row>
    <row r="540" spans="1:5">
      <c r="A540" s="15">
        <f t="shared" si="35"/>
        <v>46327</v>
      </c>
      <c r="C540" s="11">
        <f t="shared" si="32"/>
        <v>0.23858560535900958</v>
      </c>
      <c r="D540" s="11">
        <f t="shared" si="33"/>
        <v>0.3276315813357526</v>
      </c>
      <c r="E540" s="11">
        <f t="shared" si="34"/>
        <v>-0.72821308735347512</v>
      </c>
    </row>
    <row r="541" spans="1:5">
      <c r="A541" s="15">
        <f t="shared" si="35"/>
        <v>46357</v>
      </c>
      <c r="C541" s="11">
        <f t="shared" si="32"/>
        <v>0.23858560535900958</v>
      </c>
      <c r="D541" s="11">
        <f t="shared" si="33"/>
        <v>0.3276315813357526</v>
      </c>
      <c r="E541" s="11">
        <f t="shared" si="34"/>
        <v>-0.72821308735347512</v>
      </c>
    </row>
    <row r="542" spans="1:5">
      <c r="A542" s="15"/>
    </row>
    <row r="543" spans="1:5">
      <c r="A543" s="15"/>
    </row>
    <row r="544" spans="1:5">
      <c r="A544" s="15"/>
    </row>
    <row r="545" spans="1:1">
      <c r="A545" s="15"/>
    </row>
    <row r="546" spans="1:1">
      <c r="A546" s="15"/>
    </row>
    <row r="547" spans="1:1">
      <c r="A547" s="15"/>
    </row>
    <row r="548" spans="1:1">
      <c r="A548" s="15"/>
    </row>
    <row r="549" spans="1:1">
      <c r="A549" s="15"/>
    </row>
    <row r="550" spans="1:1">
      <c r="A550" s="15"/>
    </row>
    <row r="551" spans="1:1">
      <c r="A551" s="15"/>
    </row>
    <row r="552" spans="1:1">
      <c r="A552" s="15"/>
    </row>
    <row r="553" spans="1:1">
      <c r="A553" s="15"/>
    </row>
    <row r="554" spans="1:1">
      <c r="A554" s="15"/>
    </row>
    <row r="555" spans="1:1">
      <c r="A555" s="15"/>
    </row>
    <row r="556" spans="1:1">
      <c r="A556" s="15"/>
    </row>
    <row r="557" spans="1:1">
      <c r="A557" s="15"/>
    </row>
    <row r="558" spans="1:1">
      <c r="A558" s="15"/>
    </row>
    <row r="559" spans="1:1">
      <c r="A559" s="15"/>
    </row>
    <row r="560" spans="1:1">
      <c r="A560" s="15"/>
    </row>
    <row r="561" spans="1:1">
      <c r="A561" s="15"/>
    </row>
    <row r="562" spans="1:1">
      <c r="A562" s="15"/>
    </row>
    <row r="563" spans="1:1">
      <c r="A563" s="15"/>
    </row>
    <row r="564" spans="1:1">
      <c r="A564" s="15"/>
    </row>
    <row r="565" spans="1:1">
      <c r="A565" s="15"/>
    </row>
    <row r="566" spans="1:1">
      <c r="A566" s="15"/>
    </row>
    <row r="567" spans="1:1">
      <c r="A567" s="15"/>
    </row>
    <row r="568" spans="1:1">
      <c r="A568" s="15"/>
    </row>
    <row r="569" spans="1:1">
      <c r="A569" s="15"/>
    </row>
    <row r="570" spans="1:1">
      <c r="A570" s="15"/>
    </row>
    <row r="571" spans="1:1">
      <c r="A571" s="15"/>
    </row>
    <row r="572" spans="1:1">
      <c r="A572" s="15"/>
    </row>
    <row r="573" spans="1:1">
      <c r="A573" s="15"/>
    </row>
    <row r="574" spans="1:1">
      <c r="A574" s="15"/>
    </row>
    <row r="575" spans="1:1">
      <c r="A575" s="15"/>
    </row>
    <row r="576" spans="1:1">
      <c r="A576" s="15"/>
    </row>
    <row r="577" spans="1:1">
      <c r="A577" s="15"/>
    </row>
    <row r="578" spans="1:1">
      <c r="A578" s="15"/>
    </row>
    <row r="579" spans="1:1">
      <c r="A579" s="15"/>
    </row>
    <row r="580" spans="1:1">
      <c r="A580" s="15"/>
    </row>
    <row r="581" spans="1:1">
      <c r="A581" s="15"/>
    </row>
    <row r="582" spans="1:1">
      <c r="A582" s="15"/>
    </row>
    <row r="583" spans="1:1">
      <c r="A583" s="15"/>
    </row>
    <row r="584" spans="1:1">
      <c r="A584" s="15"/>
    </row>
    <row r="585" spans="1:1">
      <c r="A585" s="15"/>
    </row>
    <row r="586" spans="1:1">
      <c r="A586" s="15"/>
    </row>
    <row r="587" spans="1:1">
      <c r="A587" s="15"/>
    </row>
    <row r="588" spans="1:1">
      <c r="A588" s="15"/>
    </row>
    <row r="589" spans="1:1">
      <c r="A589" s="15"/>
    </row>
    <row r="590" spans="1:1">
      <c r="A590" s="15"/>
    </row>
    <row r="591" spans="1:1">
      <c r="A591" s="15"/>
    </row>
    <row r="592" spans="1:1">
      <c r="A592" s="15"/>
    </row>
    <row r="593" spans="1:1">
      <c r="A593" s="15"/>
    </row>
    <row r="594" spans="1:1">
      <c r="A594" s="15"/>
    </row>
    <row r="595" spans="1:1">
      <c r="A595" s="15"/>
    </row>
    <row r="596" spans="1:1">
      <c r="A596" s="15"/>
    </row>
    <row r="597" spans="1:1">
      <c r="A597" s="15"/>
    </row>
    <row r="598" spans="1:1">
      <c r="A598" s="15"/>
    </row>
    <row r="599" spans="1:1">
      <c r="A599" s="15"/>
    </row>
    <row r="600" spans="1:1">
      <c r="A600" s="15"/>
    </row>
    <row r="601" spans="1:1">
      <c r="A601" s="15"/>
    </row>
    <row r="602" spans="1:1">
      <c r="A602" s="15"/>
    </row>
    <row r="603" spans="1:1">
      <c r="A603" s="15"/>
    </row>
    <row r="604" spans="1:1">
      <c r="A604" s="15"/>
    </row>
    <row r="605" spans="1:1">
      <c r="A605" s="15"/>
    </row>
    <row r="606" spans="1:1">
      <c r="A606" s="15"/>
    </row>
    <row r="607" spans="1:1">
      <c r="A607" s="15"/>
    </row>
    <row r="608" spans="1:1">
      <c r="A608" s="15"/>
    </row>
    <row r="609" spans="1:1">
      <c r="A609" s="15"/>
    </row>
    <row r="610" spans="1:1">
      <c r="A610" s="15"/>
    </row>
    <row r="611" spans="1:1">
      <c r="A611" s="15"/>
    </row>
    <row r="612" spans="1:1">
      <c r="A612" s="15"/>
    </row>
    <row r="613" spans="1:1">
      <c r="A613" s="15"/>
    </row>
    <row r="614" spans="1:1">
      <c r="A614" s="15"/>
    </row>
    <row r="615" spans="1:1">
      <c r="A615" s="15"/>
    </row>
    <row r="616" spans="1:1">
      <c r="A616" s="15"/>
    </row>
    <row r="617" spans="1:1">
      <c r="A617" s="15"/>
    </row>
    <row r="618" spans="1:1">
      <c r="A618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3C31-D964-4518-B54F-EB31C2D43F70}">
  <dimension ref="A1:B3"/>
  <sheetViews>
    <sheetView workbookViewId="0">
      <selection activeCell="A7" sqref="A7"/>
    </sheetView>
  </sheetViews>
  <sheetFormatPr defaultRowHeight="14.45"/>
  <cols>
    <col min="1" max="1" width="54.5703125" bestFit="1" customWidth="1"/>
    <col min="2" max="2" width="96.7109375" bestFit="1" customWidth="1"/>
  </cols>
  <sheetData>
    <row r="1" spans="1:2">
      <c r="A1" s="18" t="s">
        <v>178</v>
      </c>
      <c r="B1" t="s">
        <v>179</v>
      </c>
    </row>
    <row r="2" spans="1:2">
      <c r="A2" s="18" t="s">
        <v>180</v>
      </c>
      <c r="B2" t="s">
        <v>181</v>
      </c>
    </row>
    <row r="3" spans="1:2" ht="43.15">
      <c r="A3" s="19" t="s">
        <v>182</v>
      </c>
      <c r="B3" s="17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bca3aa-6117-49b6-af7a-5b9784b720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6DC8999135446906446861079DDD5" ma:contentTypeVersion="14" ma:contentTypeDescription="Create a new document." ma:contentTypeScope="" ma:versionID="73a0450b56ee30e846649dd18ffb518a">
  <xsd:schema xmlns:xsd="http://www.w3.org/2001/XMLSchema" xmlns:xs="http://www.w3.org/2001/XMLSchema" xmlns:p="http://schemas.microsoft.com/office/2006/metadata/properties" xmlns:ns3="cabca3aa-6117-49b6-af7a-5b9784b72093" xmlns:ns4="bb34f617-72ac-4aa4-9a60-9990ad7aaa5b" targetNamespace="http://schemas.microsoft.com/office/2006/metadata/properties" ma:root="true" ma:fieldsID="973b1d05b7cb66ffc1f62026173477c0" ns3:_="" ns4:_="">
    <xsd:import namespace="cabca3aa-6117-49b6-af7a-5b9784b72093"/>
    <xsd:import namespace="bb34f617-72ac-4aa4-9a60-9990ad7aaa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ca3aa-6117-49b6-af7a-5b9784b72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4f617-72ac-4aa4-9a60-9990ad7aa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63D3AF-CB50-4302-B4A8-6AEA7F6B89F6}"/>
</file>

<file path=customXml/itemProps2.xml><?xml version="1.0" encoding="utf-8"?>
<ds:datastoreItem xmlns:ds="http://schemas.openxmlformats.org/officeDocument/2006/customXml" ds:itemID="{0137B8E1-834B-40AF-AD48-4484243AEA60}"/>
</file>

<file path=customXml/itemProps3.xml><?xml version="1.0" encoding="utf-8"?>
<ds:datastoreItem xmlns:ds="http://schemas.openxmlformats.org/officeDocument/2006/customXml" ds:itemID="{BE871AC6-6028-4313-A0B0-6E2B3D190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CPI-U table, August 2026</dc:title>
  <dc:subject/>
  <dc:creator>USBureauofLaborStatistics@USBLS.onmicrosoft.com</dc:creator>
  <cp:keywords/>
  <dc:description/>
  <cp:lastModifiedBy/>
  <cp:revision/>
  <dcterms:created xsi:type="dcterms:W3CDTF">2026-09-04T18:54:17Z</dcterms:created>
  <dcterms:modified xsi:type="dcterms:W3CDTF">2026-10-09T19:04:54Z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0x0101009356DC8999135446906446861079DDD5</vt:lpwstr>
  </property>
</Properties>
</file>